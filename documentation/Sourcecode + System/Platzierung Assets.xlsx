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GitHub\paamestia\documentation\Sourcecode + System\"/>
    </mc:Choice>
  </mc:AlternateContent>
  <xr:revisionPtr revIDLastSave="0" documentId="13_ncr:1_{2D56AA46-55EC-4478-8CC6-DD482D511CB4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ig/8/aczEHoJ5WIw9jyUNA316P/g=="/>
    </ext>
  </extLst>
</workbook>
</file>

<file path=xl/calcChain.xml><?xml version="1.0" encoding="utf-8"?>
<calcChain xmlns="http://schemas.openxmlformats.org/spreadsheetml/2006/main">
  <c r="R21" i="1" l="1"/>
  <c r="Q2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N41" i="1"/>
  <c r="M41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N30" i="1"/>
  <c r="M30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N52" i="1"/>
  <c r="M52" i="1"/>
  <c r="F91" i="1"/>
  <c r="E91" i="1"/>
  <c r="D91" i="1"/>
  <c r="C91" i="1"/>
  <c r="F90" i="1"/>
  <c r="E90" i="1"/>
  <c r="D90" i="1"/>
  <c r="C90" i="1"/>
  <c r="F89" i="1"/>
  <c r="E89" i="1"/>
  <c r="D89" i="1"/>
  <c r="C89" i="1"/>
  <c r="F88" i="1"/>
  <c r="E88" i="1"/>
  <c r="D88" i="1"/>
  <c r="C88" i="1"/>
  <c r="F87" i="1"/>
  <c r="E87" i="1"/>
  <c r="D87" i="1"/>
  <c r="C87" i="1"/>
  <c r="F86" i="1"/>
  <c r="E86" i="1"/>
  <c r="D86" i="1"/>
  <c r="C86" i="1"/>
  <c r="F85" i="1"/>
  <c r="E85" i="1"/>
  <c r="D85" i="1"/>
  <c r="C85" i="1"/>
  <c r="D84" i="1"/>
  <c r="F83" i="1"/>
  <c r="E83" i="1"/>
  <c r="D83" i="1"/>
  <c r="C83" i="1"/>
  <c r="F82" i="1"/>
  <c r="E82" i="1"/>
  <c r="D82" i="1"/>
  <c r="C82" i="1"/>
  <c r="F81" i="1"/>
  <c r="E81" i="1"/>
  <c r="D81" i="1"/>
  <c r="C81" i="1"/>
  <c r="F80" i="1"/>
  <c r="E80" i="1"/>
  <c r="D80" i="1"/>
  <c r="C80" i="1"/>
  <c r="F79" i="1"/>
  <c r="E79" i="1"/>
  <c r="D79" i="1"/>
  <c r="C79" i="1"/>
  <c r="F78" i="1"/>
  <c r="E78" i="1"/>
  <c r="D78" i="1"/>
  <c r="C78" i="1"/>
  <c r="F77" i="1"/>
  <c r="E77" i="1"/>
  <c r="D77" i="1"/>
  <c r="C77" i="1"/>
  <c r="F76" i="1"/>
  <c r="E76" i="1"/>
  <c r="D76" i="1"/>
  <c r="C76" i="1"/>
  <c r="F75" i="1"/>
  <c r="E75" i="1"/>
  <c r="D75" i="1"/>
  <c r="C75" i="1"/>
  <c r="F74" i="1"/>
  <c r="E74" i="1"/>
  <c r="D74" i="1"/>
  <c r="C74" i="1"/>
  <c r="D73" i="1"/>
  <c r="F72" i="1"/>
  <c r="E72" i="1"/>
  <c r="D72" i="1"/>
  <c r="C72" i="1"/>
  <c r="F71" i="1"/>
  <c r="E71" i="1"/>
  <c r="D71" i="1"/>
  <c r="C71" i="1"/>
  <c r="F70" i="1"/>
  <c r="E70" i="1"/>
  <c r="D70" i="1"/>
  <c r="C70" i="1"/>
  <c r="F69" i="1"/>
  <c r="E69" i="1"/>
  <c r="D69" i="1"/>
  <c r="C69" i="1"/>
  <c r="F68" i="1"/>
  <c r="E68" i="1"/>
  <c r="D68" i="1"/>
  <c r="C68" i="1"/>
  <c r="F67" i="1"/>
  <c r="E67" i="1"/>
  <c r="D67" i="1"/>
  <c r="C67" i="1"/>
  <c r="F66" i="1"/>
  <c r="E66" i="1"/>
  <c r="D66" i="1"/>
  <c r="C66" i="1"/>
  <c r="F65" i="1"/>
  <c r="E65" i="1"/>
  <c r="D65" i="1"/>
  <c r="C65" i="1"/>
  <c r="F64" i="1"/>
  <c r="E64" i="1"/>
  <c r="D64" i="1"/>
  <c r="C64" i="1"/>
  <c r="F63" i="1"/>
  <c r="E63" i="1"/>
  <c r="D63" i="1"/>
  <c r="C63" i="1"/>
  <c r="D62" i="1"/>
  <c r="F61" i="1"/>
  <c r="E61" i="1"/>
  <c r="D61" i="1"/>
  <c r="C61" i="1"/>
  <c r="F60" i="1"/>
  <c r="E60" i="1"/>
  <c r="D60" i="1"/>
  <c r="C60" i="1"/>
  <c r="F59" i="1"/>
  <c r="E59" i="1"/>
  <c r="D59" i="1"/>
  <c r="C59" i="1"/>
  <c r="F58" i="1"/>
  <c r="E58" i="1"/>
  <c r="D58" i="1"/>
  <c r="C58" i="1"/>
  <c r="F57" i="1"/>
  <c r="E57" i="1"/>
  <c r="D57" i="1"/>
  <c r="C57" i="1"/>
  <c r="F56" i="1"/>
  <c r="E56" i="1"/>
  <c r="D56" i="1"/>
  <c r="C56" i="1"/>
  <c r="F55" i="1"/>
  <c r="E55" i="1"/>
  <c r="D55" i="1"/>
  <c r="C55" i="1"/>
  <c r="F54" i="1"/>
  <c r="E54" i="1"/>
  <c r="D54" i="1"/>
  <c r="C54" i="1"/>
  <c r="F53" i="1"/>
  <c r="E53" i="1"/>
  <c r="D53" i="1"/>
  <c r="C53" i="1"/>
  <c r="F52" i="1"/>
  <c r="E52" i="1"/>
  <c r="D52" i="1"/>
  <c r="C52" i="1"/>
  <c r="D51" i="1"/>
  <c r="F50" i="1"/>
  <c r="E50" i="1"/>
  <c r="D50" i="1"/>
  <c r="C50" i="1"/>
  <c r="F49" i="1"/>
  <c r="E49" i="1"/>
  <c r="D49" i="1"/>
  <c r="C49" i="1"/>
  <c r="F48" i="1"/>
  <c r="E48" i="1"/>
  <c r="D48" i="1"/>
  <c r="C48" i="1"/>
  <c r="F47" i="1"/>
  <c r="E47" i="1"/>
  <c r="D47" i="1"/>
  <c r="C47" i="1"/>
  <c r="F46" i="1"/>
  <c r="E46" i="1"/>
  <c r="D46" i="1"/>
  <c r="C46" i="1"/>
  <c r="F45" i="1"/>
  <c r="E45" i="1"/>
  <c r="D45" i="1"/>
  <c r="C45" i="1"/>
  <c r="F44" i="1"/>
  <c r="E44" i="1"/>
  <c r="D44" i="1"/>
  <c r="C44" i="1"/>
  <c r="F43" i="1"/>
  <c r="E43" i="1"/>
  <c r="D43" i="1"/>
  <c r="C43" i="1"/>
  <c r="F42" i="1"/>
  <c r="E42" i="1"/>
  <c r="D42" i="1"/>
  <c r="C42" i="1"/>
  <c r="F41" i="1"/>
  <c r="E41" i="1"/>
  <c r="D41" i="1"/>
  <c r="C41" i="1"/>
  <c r="D40" i="1"/>
  <c r="F39" i="1"/>
  <c r="E39" i="1"/>
  <c r="D39" i="1"/>
  <c r="C39" i="1"/>
  <c r="F38" i="1"/>
  <c r="E38" i="1"/>
  <c r="D38" i="1"/>
  <c r="C38" i="1"/>
  <c r="F37" i="1"/>
  <c r="E37" i="1"/>
  <c r="D37" i="1"/>
  <c r="C37" i="1"/>
  <c r="F36" i="1"/>
  <c r="E36" i="1"/>
  <c r="D36" i="1"/>
  <c r="C36" i="1"/>
  <c r="F35" i="1"/>
  <c r="E35" i="1"/>
  <c r="D35" i="1"/>
  <c r="C35" i="1"/>
  <c r="F34" i="1"/>
  <c r="E34" i="1"/>
  <c r="D34" i="1"/>
  <c r="C34" i="1"/>
  <c r="F33" i="1"/>
  <c r="E33" i="1"/>
  <c r="D33" i="1"/>
  <c r="C33" i="1"/>
  <c r="F32" i="1"/>
  <c r="E32" i="1"/>
  <c r="D32" i="1"/>
  <c r="C32" i="1"/>
  <c r="F31" i="1"/>
  <c r="E31" i="1"/>
  <c r="D31" i="1"/>
  <c r="C31" i="1"/>
  <c r="F30" i="1"/>
  <c r="E30" i="1"/>
  <c r="D30" i="1"/>
  <c r="C30" i="1"/>
  <c r="D29" i="1"/>
  <c r="F28" i="1"/>
  <c r="E28" i="1"/>
  <c r="D28" i="1"/>
  <c r="C28" i="1"/>
  <c r="F27" i="1"/>
  <c r="E27" i="1"/>
  <c r="D27" i="1"/>
  <c r="C27" i="1"/>
  <c r="F26" i="1"/>
  <c r="E26" i="1"/>
  <c r="D26" i="1"/>
  <c r="C26" i="1"/>
  <c r="F25" i="1"/>
  <c r="E25" i="1"/>
  <c r="D25" i="1"/>
  <c r="C25" i="1"/>
  <c r="F24" i="1"/>
  <c r="E24" i="1"/>
  <c r="D24" i="1"/>
  <c r="C24" i="1"/>
  <c r="D23" i="1"/>
  <c r="F22" i="1"/>
  <c r="E22" i="1"/>
  <c r="D22" i="1"/>
  <c r="C22" i="1"/>
  <c r="J21" i="1"/>
  <c r="F21" i="1"/>
  <c r="E21" i="1"/>
  <c r="D21" i="1"/>
  <c r="F20" i="1"/>
  <c r="E20" i="1"/>
  <c r="D20" i="1"/>
  <c r="C20" i="1"/>
  <c r="F19" i="1"/>
  <c r="E19" i="1"/>
  <c r="D19" i="1"/>
  <c r="C19" i="1"/>
  <c r="F18" i="1"/>
  <c r="E18" i="1"/>
  <c r="D18" i="1"/>
  <c r="C18" i="1"/>
  <c r="D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D11" i="1"/>
  <c r="F10" i="1"/>
  <c r="E10" i="1"/>
  <c r="D10" i="1"/>
  <c r="C10" i="1"/>
  <c r="F9" i="1"/>
  <c r="E9" i="1"/>
  <c r="D9" i="1"/>
  <c r="C9" i="1"/>
  <c r="D8" i="1"/>
  <c r="F7" i="1"/>
  <c r="E7" i="1"/>
  <c r="D7" i="1"/>
  <c r="C7" i="1"/>
  <c r="F6" i="1"/>
  <c r="E6" i="1"/>
  <c r="D6" i="1"/>
  <c r="C6" i="1"/>
  <c r="F5" i="1"/>
  <c r="E5" i="1"/>
  <c r="D5" i="1"/>
  <c r="C5" i="1"/>
  <c r="F4" i="1"/>
  <c r="E4" i="1"/>
  <c r="D4" i="1"/>
  <c r="C4" i="1"/>
  <c r="D3" i="1"/>
  <c r="F2" i="1"/>
  <c r="E2" i="1"/>
  <c r="D2" i="1"/>
  <c r="C2" i="1"/>
</calcChain>
</file>

<file path=xl/sharedStrings.xml><?xml version="1.0" encoding="utf-8"?>
<sst xmlns="http://schemas.openxmlformats.org/spreadsheetml/2006/main" count="119" uniqueCount="106">
  <si>
    <t>Nummer</t>
  </si>
  <si>
    <t>X</t>
  </si>
  <si>
    <t>Y</t>
  </si>
  <si>
    <t>W</t>
  </si>
  <si>
    <t>H</t>
  </si>
  <si>
    <t>h</t>
  </si>
  <si>
    <t>w</t>
  </si>
  <si>
    <t>x</t>
  </si>
  <si>
    <t>y</t>
  </si>
  <si>
    <t>free_choose</t>
  </si>
  <si>
    <t>Hauptmenü</t>
  </si>
  <si>
    <t>Einstellungen</t>
  </si>
  <si>
    <t>A1</t>
  </si>
  <si>
    <t>Rezept</t>
  </si>
  <si>
    <t>A2</t>
  </si>
  <si>
    <t>Frei</t>
  </si>
  <si>
    <t>A3</t>
  </si>
  <si>
    <t>Quit</t>
  </si>
  <si>
    <t>A4</t>
  </si>
  <si>
    <t>settings_choose</t>
  </si>
  <si>
    <t>Getränke</t>
  </si>
  <si>
    <t>B1</t>
  </si>
  <si>
    <t>Importiere</t>
  </si>
  <si>
    <t>B2</t>
  </si>
  <si>
    <t>recipe_choose</t>
  </si>
  <si>
    <t>Marker unten</t>
  </si>
  <si>
    <t>C1</t>
  </si>
  <si>
    <t>Marker oben</t>
  </si>
  <si>
    <t>C2</t>
  </si>
  <si>
    <t>große Schaltfläche</t>
  </si>
  <si>
    <t>C3</t>
  </si>
  <si>
    <t>kleine Schaltfläche</t>
  </si>
  <si>
    <t>C4</t>
  </si>
  <si>
    <t>choose</t>
  </si>
  <si>
    <t>C5</t>
  </si>
  <si>
    <t>settings_drinks</t>
  </si>
  <si>
    <t>D1</t>
  </si>
  <si>
    <t>D2</t>
  </si>
  <si>
    <t>D3</t>
  </si>
  <si>
    <t>plug</t>
  </si>
  <si>
    <t>D4</t>
  </si>
  <si>
    <t>D5</t>
  </si>
  <si>
    <t>settings_import</t>
  </si>
  <si>
    <t>E1</t>
  </si>
  <si>
    <t>E2</t>
  </si>
  <si>
    <t>E3</t>
  </si>
  <si>
    <t>E4</t>
  </si>
  <si>
    <t>E5</t>
  </si>
  <si>
    <t>free_mixing</t>
  </si>
  <si>
    <t>Turm 1 10%</t>
  </si>
  <si>
    <t>Turm 1 20%</t>
  </si>
  <si>
    <t>Turm 1 30%</t>
  </si>
  <si>
    <t>Turm 1 40%</t>
  </si>
  <si>
    <t>Turm 1 50%</t>
  </si>
  <si>
    <t>Turm 1 60%</t>
  </si>
  <si>
    <t>Turm 1 70%</t>
  </si>
  <si>
    <t>Turm 1 80%</t>
  </si>
  <si>
    <t>Turm 1 90%</t>
  </si>
  <si>
    <t>Turm 1 100%</t>
  </si>
  <si>
    <t>Turm 2 10%</t>
  </si>
  <si>
    <t>Turm 2 20%</t>
  </si>
  <si>
    <t>Turm 2 30%</t>
  </si>
  <si>
    <t>Turm 2 40%</t>
  </si>
  <si>
    <t>Turm 2 50%</t>
  </si>
  <si>
    <t>Turm 2 60%</t>
  </si>
  <si>
    <t>Turm 2 70%</t>
  </si>
  <si>
    <t>Turm 2 80%</t>
  </si>
  <si>
    <t>Turm 2 90%</t>
  </si>
  <si>
    <t>Turm 2 100%</t>
  </si>
  <si>
    <t>Turm 3 10%</t>
  </si>
  <si>
    <t>Turm 3 20%</t>
  </si>
  <si>
    <t>Turm 3 30%</t>
  </si>
  <si>
    <t>Turm 3 40%</t>
  </si>
  <si>
    <t>Turm 3 50%</t>
  </si>
  <si>
    <t>Turm 3 60%</t>
  </si>
  <si>
    <t>Turm 3 70%</t>
  </si>
  <si>
    <t>Turm 3 80%</t>
  </si>
  <si>
    <t>Turm 3 90%</t>
  </si>
  <si>
    <t>Turm 3 100%</t>
  </si>
  <si>
    <t>Turm 4 10%</t>
  </si>
  <si>
    <t>Turm 4 20%</t>
  </si>
  <si>
    <t>Turm 4 30%</t>
  </si>
  <si>
    <t>Turm 4 40%</t>
  </si>
  <si>
    <t>Turm 4 50%</t>
  </si>
  <si>
    <t>Turm 4 60%</t>
  </si>
  <si>
    <t>Turm 4 70%</t>
  </si>
  <si>
    <t>Turm 4 80%</t>
  </si>
  <si>
    <t>Turm 4 90%</t>
  </si>
  <si>
    <t>Turm 4 100%</t>
  </si>
  <si>
    <t>Turm 5 10%</t>
  </si>
  <si>
    <t>Turm 5 20%</t>
  </si>
  <si>
    <t>Turm 5 30%</t>
  </si>
  <si>
    <t>Turm 5 40%</t>
  </si>
  <si>
    <t>Turm 5 50%</t>
  </si>
  <si>
    <t>Turm 5 60%</t>
  </si>
  <si>
    <t>Turm 5 70%</t>
  </si>
  <si>
    <t>Turm 5 80%</t>
  </si>
  <si>
    <t>Turm 5 90%</t>
  </si>
  <si>
    <t>Turm 5 100%</t>
  </si>
  <si>
    <t>Turm 1+2</t>
  </si>
  <si>
    <t>Turm 3</t>
  </si>
  <si>
    <t>Summe Center</t>
  </si>
  <si>
    <t>Summe</t>
  </si>
  <si>
    <t>back</t>
  </si>
  <si>
    <t>next</t>
  </si>
  <si>
    <t>Turm 4+5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</si>
</sst>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</font>
    <font>
      <sz val="11"/>
      <color theme="1"/>
      <name val="Calibri"/>
    </font>
    <font>
      <sz val="11"/>
      <name val="Arial"/>
    </font>
    <font>
      <sz val="11"/>
      <color theme="1"/>
      <name val="Calibri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FD966"/>
        <bgColor rgb="FFFFD966"/>
      </patternFill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2" borderId="1" xfId="0" applyFont="1" applyFill="1" applyBorder="1"/>
    <xf numFmtId="0" fontId="1" fillId="3" borderId="0" xfId="0" applyFont="1" applyFill="1"/>
    <xf numFmtId="0" fontId="2" fillId="3" borderId="0" xfId="0" applyFont="1" applyFill="1"/>
    <xf numFmtId="0" fontId="2" fillId="3" borderId="0" xfId="0" applyFont="1" applyFill="1" applyAlignment="1"/>
    <xf numFmtId="0" fontId="1" fillId="3" borderId="0" xfId="0" applyFont="1" applyFill="1" applyAlignment="1"/>
    <xf numFmtId="0" fontId="3" fillId="4" borderId="1" xfId="0" applyFont="1" applyFill="1" applyBorder="1"/>
    <xf numFmtId="0" fontId="4" fillId="4" borderId="1" xfId="0" applyFont="1" applyFill="1" applyBorder="1" applyAlignment="1"/>
    <xf numFmtId="0" fontId="3" fillId="0" borderId="0" xfId="0" applyFont="1"/>
    <xf numFmtId="0" fontId="1" fillId="0" borderId="0" xfId="0" applyFont="1" applyAlignment="1"/>
    <xf numFmtId="0" fontId="0" fillId="0" borderId="0" xfId="0" applyFont="1" applyAlignment="1"/>
    <xf numFmtId="0" fontId="1" fillId="2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xSplit="2" ySplit="2" topLeftCell="C8" activePane="bottomRight" state="frozen"/>
      <selection pane="topRight" activeCell="C1" sqref="C1"/>
      <selection pane="bottomLeft" activeCell="A3" sqref="A3"/>
      <selection pane="bottomRight" activeCell="D25" sqref="D25"/>
    </sheetView>
  </sheetViews>
  <sheetFormatPr baseColWidth="10" defaultColWidth="12.6640625" defaultRowHeight="15" customHeight="1" x14ac:dyDescent="0.3"/>
  <cols>
    <col min="1" max="1" width="15.6640625" customWidth="1"/>
    <col min="2" max="2" width="12.75" customWidth="1"/>
    <col min="3" max="26" width="9.4140625" customWidth="1"/>
  </cols>
  <sheetData>
    <row r="1" spans="1:26" ht="14.25" customHeight="1" x14ac:dyDescent="0.35"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M1" s="2"/>
    </row>
    <row r="2" spans="1:26" ht="14.25" customHeight="1" x14ac:dyDescent="0.35">
      <c r="C2" s="1">
        <f>J2</f>
        <v>0</v>
      </c>
      <c r="D2" s="1">
        <f t="shared" ref="D2:D91" si="0">600-K2</f>
        <v>600</v>
      </c>
      <c r="E2" s="1">
        <f>I2</f>
        <v>0</v>
      </c>
      <c r="F2" s="1">
        <f>H2</f>
        <v>0</v>
      </c>
      <c r="M2" s="11" t="s">
        <v>9</v>
      </c>
      <c r="N2" s="12"/>
    </row>
    <row r="3" spans="1:26" ht="14.25" customHeight="1" x14ac:dyDescent="0.35">
      <c r="A3" s="3"/>
      <c r="B3" s="3" t="s">
        <v>10</v>
      </c>
      <c r="C3" s="3"/>
      <c r="D3" s="1">
        <f t="shared" si="0"/>
        <v>600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5">
      <c r="A4" s="1" t="s">
        <v>11</v>
      </c>
      <c r="B4" s="1" t="s">
        <v>12</v>
      </c>
      <c r="C4" s="1">
        <f t="shared" ref="C4:C7" si="1">J4</f>
        <v>48</v>
      </c>
      <c r="D4" s="1">
        <f t="shared" si="0"/>
        <v>48</v>
      </c>
      <c r="E4" s="1">
        <f t="shared" ref="E4:E7" si="2">I4</f>
        <v>197</v>
      </c>
      <c r="F4" s="1">
        <f t="shared" ref="F4:F7" si="3">H4</f>
        <v>439</v>
      </c>
      <c r="H4" s="1">
        <v>439</v>
      </c>
      <c r="I4" s="1">
        <v>197</v>
      </c>
      <c r="J4" s="1">
        <v>48</v>
      </c>
      <c r="K4" s="1">
        <v>552</v>
      </c>
    </row>
    <row r="5" spans="1:26" ht="14.25" customHeight="1" x14ac:dyDescent="0.35">
      <c r="A5" s="1" t="s">
        <v>13</v>
      </c>
      <c r="B5" s="1" t="s">
        <v>14</v>
      </c>
      <c r="C5" s="1">
        <f t="shared" si="1"/>
        <v>261</v>
      </c>
      <c r="D5" s="1">
        <f t="shared" si="0"/>
        <v>13</v>
      </c>
      <c r="E5" s="1">
        <f t="shared" si="2"/>
        <v>279</v>
      </c>
      <c r="F5" s="1">
        <f t="shared" si="3"/>
        <v>484</v>
      </c>
      <c r="H5" s="1">
        <v>484</v>
      </c>
      <c r="I5" s="1">
        <v>279</v>
      </c>
      <c r="J5" s="1">
        <v>261</v>
      </c>
      <c r="K5" s="1">
        <v>587</v>
      </c>
    </row>
    <row r="6" spans="1:26" ht="14.25" customHeight="1" x14ac:dyDescent="0.35">
      <c r="A6" s="1" t="s">
        <v>15</v>
      </c>
      <c r="B6" s="1" t="s">
        <v>16</v>
      </c>
      <c r="C6" s="1">
        <f t="shared" si="1"/>
        <v>557</v>
      </c>
      <c r="D6" s="1">
        <f t="shared" si="0"/>
        <v>48</v>
      </c>
      <c r="E6" s="1">
        <f t="shared" si="2"/>
        <v>197</v>
      </c>
      <c r="F6" s="1">
        <f t="shared" si="3"/>
        <v>439</v>
      </c>
      <c r="H6" s="1">
        <v>439</v>
      </c>
      <c r="I6" s="1">
        <v>197</v>
      </c>
      <c r="J6" s="1">
        <v>557</v>
      </c>
      <c r="K6" s="1">
        <v>552</v>
      </c>
    </row>
    <row r="7" spans="1:26" ht="14.25" customHeight="1" x14ac:dyDescent="0.35">
      <c r="A7" s="1" t="s">
        <v>17</v>
      </c>
      <c r="B7" s="1" t="s">
        <v>18</v>
      </c>
      <c r="C7" s="1">
        <f t="shared" si="1"/>
        <v>274</v>
      </c>
      <c r="D7" s="1">
        <f t="shared" si="0"/>
        <v>511</v>
      </c>
      <c r="E7" s="1">
        <f t="shared" si="2"/>
        <v>250</v>
      </c>
      <c r="F7" s="1">
        <f t="shared" si="3"/>
        <v>77</v>
      </c>
      <c r="H7" s="1">
        <v>77</v>
      </c>
      <c r="I7" s="1">
        <v>250</v>
      </c>
      <c r="J7" s="1">
        <v>274</v>
      </c>
      <c r="K7" s="1">
        <v>89</v>
      </c>
    </row>
    <row r="8" spans="1:26" ht="14.25" customHeight="1" x14ac:dyDescent="0.35">
      <c r="A8" s="3"/>
      <c r="B8" s="3" t="s">
        <v>19</v>
      </c>
      <c r="C8" s="3"/>
      <c r="D8" s="1">
        <f t="shared" si="0"/>
        <v>600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5">
      <c r="A9" s="1" t="s">
        <v>20</v>
      </c>
      <c r="B9" s="1" t="s">
        <v>21</v>
      </c>
      <c r="C9" s="1">
        <f t="shared" ref="C9:C10" si="4">J9</f>
        <v>14</v>
      </c>
      <c r="D9" s="1">
        <f t="shared" si="0"/>
        <v>10</v>
      </c>
      <c r="E9" s="1">
        <f t="shared" ref="E9:E10" si="5">I9</f>
        <v>326</v>
      </c>
      <c r="F9" s="1">
        <f t="shared" ref="F9:F10" si="6">H9</f>
        <v>582</v>
      </c>
      <c r="H9" s="1">
        <v>582</v>
      </c>
      <c r="I9" s="1">
        <v>326</v>
      </c>
      <c r="J9" s="1">
        <v>14</v>
      </c>
      <c r="K9" s="1">
        <v>590</v>
      </c>
    </row>
    <row r="10" spans="1:26" ht="14.25" customHeight="1" x14ac:dyDescent="0.35">
      <c r="A10" s="1" t="s">
        <v>22</v>
      </c>
      <c r="B10" s="1" t="s">
        <v>23</v>
      </c>
      <c r="C10" s="1">
        <f t="shared" si="4"/>
        <v>461</v>
      </c>
      <c r="D10" s="1">
        <f t="shared" si="0"/>
        <v>10</v>
      </c>
      <c r="E10" s="1">
        <f t="shared" si="5"/>
        <v>326</v>
      </c>
      <c r="F10" s="1">
        <f t="shared" si="6"/>
        <v>582</v>
      </c>
      <c r="H10" s="1">
        <v>582</v>
      </c>
      <c r="I10" s="1">
        <v>326</v>
      </c>
      <c r="J10" s="1">
        <v>461</v>
      </c>
      <c r="K10" s="1">
        <v>590</v>
      </c>
    </row>
    <row r="11" spans="1:26" ht="14.25" customHeight="1" x14ac:dyDescent="0.35">
      <c r="A11" s="3"/>
      <c r="B11" s="3" t="s">
        <v>24</v>
      </c>
      <c r="C11" s="3"/>
      <c r="D11" s="1">
        <f t="shared" si="0"/>
        <v>600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5">
      <c r="A12" s="1" t="s">
        <v>25</v>
      </c>
      <c r="B12" s="1" t="s">
        <v>26</v>
      </c>
      <c r="C12" s="1">
        <f t="shared" ref="C12:C16" si="7">J12</f>
        <v>283</v>
      </c>
      <c r="D12" s="1">
        <f t="shared" si="0"/>
        <v>563</v>
      </c>
      <c r="E12" s="1">
        <f t="shared" ref="E12:E16" si="8">I12</f>
        <v>35</v>
      </c>
      <c r="F12" s="1">
        <f t="shared" ref="F12:F16" si="9">H12</f>
        <v>30</v>
      </c>
      <c r="H12" s="1">
        <v>30</v>
      </c>
      <c r="I12" s="1">
        <v>35</v>
      </c>
      <c r="J12" s="1">
        <v>283</v>
      </c>
      <c r="K12" s="1">
        <v>37</v>
      </c>
    </row>
    <row r="13" spans="1:26" ht="14.25" customHeight="1" x14ac:dyDescent="0.35">
      <c r="A13" s="1" t="s">
        <v>27</v>
      </c>
      <c r="B13" s="1" t="s">
        <v>28</v>
      </c>
      <c r="C13" s="1">
        <f t="shared" si="7"/>
        <v>283</v>
      </c>
      <c r="D13" s="1">
        <f t="shared" si="0"/>
        <v>7</v>
      </c>
      <c r="E13" s="1">
        <f t="shared" si="8"/>
        <v>35</v>
      </c>
      <c r="F13" s="1">
        <f t="shared" si="9"/>
        <v>30</v>
      </c>
      <c r="H13" s="1">
        <v>30</v>
      </c>
      <c r="I13" s="1">
        <v>35</v>
      </c>
      <c r="J13" s="1">
        <v>283</v>
      </c>
      <c r="K13" s="1">
        <v>593</v>
      </c>
    </row>
    <row r="14" spans="1:26" ht="14.25" customHeight="1" x14ac:dyDescent="0.35">
      <c r="A14" s="1" t="s">
        <v>29</v>
      </c>
      <c r="B14" s="1" t="s">
        <v>30</v>
      </c>
      <c r="C14" s="1">
        <f t="shared" si="7"/>
        <v>90</v>
      </c>
      <c r="D14" s="1">
        <f t="shared" si="0"/>
        <v>44</v>
      </c>
      <c r="E14" s="1">
        <f t="shared" si="8"/>
        <v>404</v>
      </c>
      <c r="F14" s="1">
        <f t="shared" si="9"/>
        <v>56</v>
      </c>
      <c r="H14" s="1">
        <v>56</v>
      </c>
      <c r="I14" s="1">
        <v>404</v>
      </c>
      <c r="J14" s="1">
        <v>90</v>
      </c>
      <c r="K14" s="1">
        <v>556</v>
      </c>
    </row>
    <row r="15" spans="1:26" ht="14.25" customHeight="1" x14ac:dyDescent="0.35">
      <c r="A15" s="1" t="s">
        <v>31</v>
      </c>
      <c r="B15" s="1" t="s">
        <v>32</v>
      </c>
      <c r="C15" s="1">
        <f t="shared" si="7"/>
        <v>107</v>
      </c>
      <c r="D15" s="1">
        <f t="shared" si="0"/>
        <v>106</v>
      </c>
      <c r="E15" s="1">
        <f t="shared" si="8"/>
        <v>388</v>
      </c>
      <c r="F15" s="1">
        <f t="shared" si="9"/>
        <v>47</v>
      </c>
      <c r="H15" s="1">
        <v>47</v>
      </c>
      <c r="I15" s="1">
        <v>388</v>
      </c>
      <c r="J15" s="1">
        <v>107</v>
      </c>
      <c r="K15" s="1">
        <v>494</v>
      </c>
    </row>
    <row r="16" spans="1:26" ht="14.25" customHeight="1" x14ac:dyDescent="0.35">
      <c r="A16" s="1" t="s">
        <v>33</v>
      </c>
      <c r="B16" s="1" t="s">
        <v>34</v>
      </c>
      <c r="C16" s="1">
        <f t="shared" si="7"/>
        <v>635</v>
      </c>
      <c r="D16" s="1">
        <f t="shared" si="0"/>
        <v>509</v>
      </c>
      <c r="E16" s="1">
        <f t="shared" si="8"/>
        <v>131</v>
      </c>
      <c r="F16" s="1">
        <f t="shared" si="9"/>
        <v>45</v>
      </c>
      <c r="H16" s="1">
        <v>45</v>
      </c>
      <c r="I16" s="1">
        <v>131</v>
      </c>
      <c r="J16" s="1">
        <v>635</v>
      </c>
      <c r="K16" s="1">
        <v>91</v>
      </c>
    </row>
    <row r="17" spans="1:26" ht="14.25" customHeight="1" x14ac:dyDescent="0.35">
      <c r="A17" s="3"/>
      <c r="B17" s="3" t="s">
        <v>35</v>
      </c>
      <c r="C17" s="3"/>
      <c r="D17" s="1">
        <f t="shared" si="0"/>
        <v>600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5">
      <c r="A18" s="1" t="s">
        <v>25</v>
      </c>
      <c r="B18" s="1" t="s">
        <v>36</v>
      </c>
      <c r="C18" s="1">
        <f t="shared" ref="C18:C22" si="10">J18</f>
        <v>383</v>
      </c>
      <c r="D18" s="1">
        <f t="shared" si="0"/>
        <v>563</v>
      </c>
      <c r="E18" s="1">
        <f t="shared" ref="E18:E22" si="11">I18</f>
        <v>35</v>
      </c>
      <c r="F18" s="1">
        <f t="shared" ref="F18:F22" si="12">H18</f>
        <v>30</v>
      </c>
      <c r="H18" s="1">
        <v>30</v>
      </c>
      <c r="I18" s="1">
        <v>35</v>
      </c>
      <c r="J18" s="1">
        <v>383</v>
      </c>
      <c r="K18" s="1">
        <v>37</v>
      </c>
    </row>
    <row r="19" spans="1:26" ht="14.25" customHeight="1" x14ac:dyDescent="0.35">
      <c r="A19" s="1" t="s">
        <v>27</v>
      </c>
      <c r="B19" s="1" t="s">
        <v>37</v>
      </c>
      <c r="C19" s="1">
        <f t="shared" si="10"/>
        <v>383</v>
      </c>
      <c r="D19" s="1">
        <f t="shared" si="0"/>
        <v>6</v>
      </c>
      <c r="E19" s="1">
        <f t="shared" si="11"/>
        <v>35</v>
      </c>
      <c r="F19" s="1">
        <f t="shared" si="12"/>
        <v>30</v>
      </c>
      <c r="H19" s="1">
        <v>30</v>
      </c>
      <c r="I19" s="1">
        <v>35</v>
      </c>
      <c r="J19" s="1">
        <v>383</v>
      </c>
      <c r="K19" s="1">
        <v>594</v>
      </c>
    </row>
    <row r="20" spans="1:26" ht="14.25" customHeight="1" x14ac:dyDescent="0.35">
      <c r="A20" s="1" t="s">
        <v>29</v>
      </c>
      <c r="B20" s="1" t="s">
        <v>38</v>
      </c>
      <c r="C20" s="1">
        <f t="shared" si="10"/>
        <v>188</v>
      </c>
      <c r="D20" s="1">
        <f t="shared" si="0"/>
        <v>43</v>
      </c>
      <c r="E20" s="1">
        <f t="shared" si="11"/>
        <v>366</v>
      </c>
      <c r="F20" s="1">
        <f t="shared" si="12"/>
        <v>56</v>
      </c>
      <c r="H20" s="1">
        <v>56</v>
      </c>
      <c r="I20" s="1">
        <v>366</v>
      </c>
      <c r="J20" s="1">
        <v>188</v>
      </c>
      <c r="K20" s="1">
        <v>557</v>
      </c>
      <c r="Q20">
        <v>396</v>
      </c>
      <c r="R20">
        <v>203</v>
      </c>
    </row>
    <row r="21" spans="1:26" ht="14.25" customHeight="1" x14ac:dyDescent="0.35">
      <c r="A21" s="1" t="s">
        <v>39</v>
      </c>
      <c r="B21" s="1" t="s">
        <v>40</v>
      </c>
      <c r="C21" s="4">
        <v>539</v>
      </c>
      <c r="D21" s="4">
        <f t="shared" si="0"/>
        <v>43</v>
      </c>
      <c r="E21" s="4">
        <f t="shared" si="11"/>
        <v>56</v>
      </c>
      <c r="F21" s="4">
        <f t="shared" si="12"/>
        <v>56</v>
      </c>
      <c r="G21" s="4"/>
      <c r="H21" s="5">
        <v>56</v>
      </c>
      <c r="I21" s="6">
        <v>56</v>
      </c>
      <c r="J21" s="7">
        <f>537 + 56</f>
        <v>593</v>
      </c>
      <c r="K21" s="5">
        <v>557</v>
      </c>
      <c r="P21">
        <v>0.6</v>
      </c>
      <c r="Q21">
        <f>Q20*P21</f>
        <v>237.6</v>
      </c>
      <c r="R21">
        <f>R20*P21</f>
        <v>121.8</v>
      </c>
    </row>
    <row r="22" spans="1:26" ht="14.25" customHeight="1" x14ac:dyDescent="0.35">
      <c r="A22" s="1" t="s">
        <v>31</v>
      </c>
      <c r="B22" s="1" t="s">
        <v>41</v>
      </c>
      <c r="C22" s="1">
        <f t="shared" si="10"/>
        <v>206</v>
      </c>
      <c r="D22" s="1">
        <f t="shared" si="0"/>
        <v>106</v>
      </c>
      <c r="E22" s="1">
        <f t="shared" si="11"/>
        <v>388</v>
      </c>
      <c r="F22" s="1">
        <f t="shared" si="12"/>
        <v>47</v>
      </c>
      <c r="H22" s="1">
        <v>47</v>
      </c>
      <c r="I22" s="1">
        <v>388</v>
      </c>
      <c r="J22" s="1">
        <v>206</v>
      </c>
      <c r="K22" s="1">
        <v>494</v>
      </c>
    </row>
    <row r="23" spans="1:26" ht="14.25" customHeight="1" x14ac:dyDescent="0.35">
      <c r="A23" s="3"/>
      <c r="B23" s="3" t="s">
        <v>42</v>
      </c>
      <c r="C23" s="3"/>
      <c r="D23" s="1">
        <f t="shared" si="0"/>
        <v>600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5">
      <c r="A24" s="1" t="s">
        <v>25</v>
      </c>
      <c r="B24" s="1" t="s">
        <v>43</v>
      </c>
      <c r="C24" s="1">
        <f t="shared" ref="C24:C28" si="13">J24</f>
        <v>283</v>
      </c>
      <c r="D24" s="1">
        <f t="shared" si="0"/>
        <v>563</v>
      </c>
      <c r="E24" s="1">
        <f t="shared" ref="E24:E28" si="14">I24</f>
        <v>35</v>
      </c>
      <c r="F24" s="1">
        <f t="shared" ref="F24:F28" si="15">H24</f>
        <v>30</v>
      </c>
      <c r="H24" s="1">
        <v>30</v>
      </c>
      <c r="I24" s="1">
        <v>35</v>
      </c>
      <c r="J24" s="1">
        <v>283</v>
      </c>
      <c r="K24" s="1">
        <v>37</v>
      </c>
    </row>
    <row r="25" spans="1:26" ht="14.25" customHeight="1" x14ac:dyDescent="0.35">
      <c r="A25" s="1" t="s">
        <v>27</v>
      </c>
      <c r="B25" s="1" t="s">
        <v>44</v>
      </c>
      <c r="C25" s="1">
        <f t="shared" si="13"/>
        <v>283</v>
      </c>
      <c r="D25" s="1">
        <f t="shared" si="0"/>
        <v>6</v>
      </c>
      <c r="E25" s="1">
        <f t="shared" si="14"/>
        <v>35</v>
      </c>
      <c r="F25" s="1">
        <f t="shared" si="15"/>
        <v>30</v>
      </c>
      <c r="H25" s="1">
        <v>30</v>
      </c>
      <c r="I25" s="1">
        <v>35</v>
      </c>
      <c r="J25" s="1">
        <v>283</v>
      </c>
      <c r="K25" s="1">
        <v>594</v>
      </c>
    </row>
    <row r="26" spans="1:26" ht="14.25" customHeight="1" x14ac:dyDescent="0.35">
      <c r="A26" s="1" t="s">
        <v>29</v>
      </c>
      <c r="B26" s="1" t="s">
        <v>45</v>
      </c>
      <c r="C26" s="1">
        <f t="shared" si="13"/>
        <v>87</v>
      </c>
      <c r="D26" s="1">
        <f t="shared" si="0"/>
        <v>43</v>
      </c>
      <c r="E26" s="1">
        <f t="shared" si="14"/>
        <v>409</v>
      </c>
      <c r="F26" s="1">
        <f t="shared" si="15"/>
        <v>56</v>
      </c>
      <c r="H26" s="1">
        <v>56</v>
      </c>
      <c r="I26" s="1">
        <v>409</v>
      </c>
      <c r="J26" s="1">
        <v>87</v>
      </c>
      <c r="K26" s="1">
        <v>557</v>
      </c>
    </row>
    <row r="27" spans="1:26" ht="14.25" customHeight="1" x14ac:dyDescent="0.35">
      <c r="A27" s="1" t="s">
        <v>31</v>
      </c>
      <c r="B27" s="1" t="s">
        <v>46</v>
      </c>
      <c r="C27" s="1">
        <f t="shared" si="13"/>
        <v>104</v>
      </c>
      <c r="D27" s="1">
        <f t="shared" si="0"/>
        <v>106</v>
      </c>
      <c r="E27" s="1">
        <f t="shared" si="14"/>
        <v>393</v>
      </c>
      <c r="F27" s="1">
        <f t="shared" si="15"/>
        <v>47</v>
      </c>
      <c r="H27" s="1">
        <v>47</v>
      </c>
      <c r="I27" s="1">
        <v>393</v>
      </c>
      <c r="J27" s="1">
        <v>104</v>
      </c>
      <c r="K27" s="1">
        <v>494</v>
      </c>
    </row>
    <row r="28" spans="1:26" ht="14.25" customHeight="1" x14ac:dyDescent="0.35">
      <c r="A28" s="1" t="s">
        <v>22</v>
      </c>
      <c r="B28" s="1" t="s">
        <v>47</v>
      </c>
      <c r="C28" s="1">
        <f t="shared" si="13"/>
        <v>635</v>
      </c>
      <c r="D28" s="1">
        <f t="shared" si="0"/>
        <v>510</v>
      </c>
      <c r="E28" s="1">
        <f t="shared" si="14"/>
        <v>131</v>
      </c>
      <c r="F28" s="1">
        <f t="shared" si="15"/>
        <v>45</v>
      </c>
      <c r="H28" s="1">
        <v>45</v>
      </c>
      <c r="I28" s="1">
        <v>131</v>
      </c>
      <c r="J28" s="1">
        <v>635</v>
      </c>
      <c r="K28" s="1">
        <v>90</v>
      </c>
    </row>
    <row r="29" spans="1:26" ht="14.25" customHeight="1" x14ac:dyDescent="0.35">
      <c r="A29" s="3"/>
      <c r="B29" s="3" t="s">
        <v>48</v>
      </c>
      <c r="C29" s="3"/>
      <c r="D29" s="1">
        <f t="shared" si="0"/>
        <v>600</v>
      </c>
      <c r="E29" s="3"/>
      <c r="F29" s="3"/>
      <c r="G29" s="3"/>
      <c r="H29" s="3"/>
      <c r="I29" s="3"/>
      <c r="J29" s="3"/>
      <c r="K29" s="3"/>
      <c r="L29" s="3"/>
      <c r="M29" s="13" t="s">
        <v>1</v>
      </c>
      <c r="N29" s="13" t="s">
        <v>2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5">
      <c r="B30" s="1" t="s">
        <v>49</v>
      </c>
      <c r="C30" s="1">
        <f t="shared" ref="C30:C39" si="16">J30</f>
        <v>104</v>
      </c>
      <c r="D30" s="1">
        <f t="shared" si="0"/>
        <v>392</v>
      </c>
      <c r="E30" s="1">
        <f t="shared" ref="E30:E39" si="17">I30</f>
        <v>45</v>
      </c>
      <c r="F30" s="1">
        <f t="shared" ref="F30:F39" si="18">H30</f>
        <v>30</v>
      </c>
      <c r="H30" s="1">
        <v>30</v>
      </c>
      <c r="I30" s="1">
        <v>45</v>
      </c>
      <c r="J30" s="1">
        <v>104</v>
      </c>
      <c r="K30" s="1">
        <v>208</v>
      </c>
      <c r="M30">
        <f>C30-$C$85</f>
        <v>47</v>
      </c>
      <c r="N30">
        <f>D30-$D$85</f>
        <v>277</v>
      </c>
    </row>
    <row r="31" spans="1:26" ht="14.25" customHeight="1" x14ac:dyDescent="0.35">
      <c r="B31" s="1" t="s">
        <v>50</v>
      </c>
      <c r="C31" s="1">
        <f t="shared" si="16"/>
        <v>127</v>
      </c>
      <c r="D31" s="1">
        <f t="shared" si="0"/>
        <v>368</v>
      </c>
      <c r="E31" s="1">
        <f t="shared" si="17"/>
        <v>40</v>
      </c>
      <c r="F31" s="1">
        <f t="shared" si="18"/>
        <v>54</v>
      </c>
      <c r="H31" s="1">
        <v>54</v>
      </c>
      <c r="I31" s="1">
        <v>40</v>
      </c>
      <c r="J31" s="1">
        <v>127</v>
      </c>
      <c r="K31" s="1">
        <v>232</v>
      </c>
      <c r="M31">
        <f t="shared" ref="M31:M39" si="19">C31-$C$85</f>
        <v>70</v>
      </c>
      <c r="N31">
        <f t="shared" ref="N31:N39" si="20">D31-$D$85</f>
        <v>253</v>
      </c>
    </row>
    <row r="32" spans="1:26" ht="14.25" customHeight="1" x14ac:dyDescent="0.35">
      <c r="B32" s="1" t="s">
        <v>51</v>
      </c>
      <c r="C32" s="1">
        <f t="shared" si="16"/>
        <v>127</v>
      </c>
      <c r="D32" s="1">
        <f t="shared" si="0"/>
        <v>345</v>
      </c>
      <c r="E32" s="1">
        <f t="shared" si="17"/>
        <v>31</v>
      </c>
      <c r="F32" s="1">
        <f t="shared" si="18"/>
        <v>61</v>
      </c>
      <c r="H32" s="1">
        <v>61</v>
      </c>
      <c r="I32" s="1">
        <v>31</v>
      </c>
      <c r="J32" s="1">
        <v>127</v>
      </c>
      <c r="K32" s="1">
        <v>255</v>
      </c>
      <c r="M32">
        <f t="shared" si="19"/>
        <v>70</v>
      </c>
      <c r="N32">
        <f t="shared" si="20"/>
        <v>230</v>
      </c>
    </row>
    <row r="33" spans="1:26" ht="14.25" customHeight="1" x14ac:dyDescent="0.35">
      <c r="B33" s="1" t="s">
        <v>52</v>
      </c>
      <c r="C33" s="1">
        <f t="shared" si="16"/>
        <v>127</v>
      </c>
      <c r="D33" s="1">
        <f t="shared" si="0"/>
        <v>320</v>
      </c>
      <c r="E33" s="1">
        <f t="shared" si="17"/>
        <v>31</v>
      </c>
      <c r="F33" s="1">
        <f t="shared" si="18"/>
        <v>63</v>
      </c>
      <c r="H33" s="1">
        <v>63</v>
      </c>
      <c r="I33" s="1">
        <v>31</v>
      </c>
      <c r="J33" s="1">
        <v>127</v>
      </c>
      <c r="K33" s="1">
        <v>280</v>
      </c>
      <c r="M33">
        <f t="shared" si="19"/>
        <v>70</v>
      </c>
      <c r="N33">
        <f t="shared" si="20"/>
        <v>205</v>
      </c>
    </row>
    <row r="34" spans="1:26" ht="14.25" customHeight="1" x14ac:dyDescent="0.35">
      <c r="B34" s="1" t="s">
        <v>53</v>
      </c>
      <c r="C34" s="1">
        <f t="shared" si="16"/>
        <v>127</v>
      </c>
      <c r="D34" s="1">
        <f t="shared" si="0"/>
        <v>294</v>
      </c>
      <c r="E34" s="1">
        <f t="shared" si="17"/>
        <v>31</v>
      </c>
      <c r="F34" s="1">
        <f t="shared" si="18"/>
        <v>63</v>
      </c>
      <c r="H34" s="1">
        <v>63</v>
      </c>
      <c r="I34" s="1">
        <v>31</v>
      </c>
      <c r="J34" s="1">
        <v>127</v>
      </c>
      <c r="K34" s="1">
        <v>306</v>
      </c>
      <c r="M34">
        <f t="shared" si="19"/>
        <v>70</v>
      </c>
      <c r="N34">
        <f t="shared" si="20"/>
        <v>179</v>
      </c>
    </row>
    <row r="35" spans="1:26" ht="14.25" customHeight="1" x14ac:dyDescent="0.35">
      <c r="B35" s="1" t="s">
        <v>54</v>
      </c>
      <c r="C35" s="1">
        <f t="shared" si="16"/>
        <v>127</v>
      </c>
      <c r="D35" s="1">
        <f t="shared" si="0"/>
        <v>269</v>
      </c>
      <c r="E35" s="1">
        <f t="shared" si="17"/>
        <v>31</v>
      </c>
      <c r="F35" s="1">
        <f t="shared" si="18"/>
        <v>63</v>
      </c>
      <c r="H35" s="1">
        <v>63</v>
      </c>
      <c r="I35" s="1">
        <v>31</v>
      </c>
      <c r="J35" s="1">
        <v>127</v>
      </c>
      <c r="K35" s="1">
        <v>331</v>
      </c>
      <c r="M35">
        <f t="shared" si="19"/>
        <v>70</v>
      </c>
      <c r="N35">
        <f t="shared" si="20"/>
        <v>154</v>
      </c>
    </row>
    <row r="36" spans="1:26" ht="14.25" customHeight="1" x14ac:dyDescent="0.35">
      <c r="B36" s="1" t="s">
        <v>55</v>
      </c>
      <c r="C36" s="1">
        <f t="shared" si="16"/>
        <v>127</v>
      </c>
      <c r="D36" s="1">
        <f t="shared" si="0"/>
        <v>244</v>
      </c>
      <c r="E36" s="1">
        <f t="shared" si="17"/>
        <v>31</v>
      </c>
      <c r="F36" s="1">
        <f t="shared" si="18"/>
        <v>63</v>
      </c>
      <c r="H36" s="1">
        <v>63</v>
      </c>
      <c r="I36" s="1">
        <v>31</v>
      </c>
      <c r="J36" s="1">
        <v>127</v>
      </c>
      <c r="K36" s="1">
        <v>356</v>
      </c>
      <c r="M36">
        <f t="shared" si="19"/>
        <v>70</v>
      </c>
      <c r="N36">
        <f t="shared" si="20"/>
        <v>129</v>
      </c>
    </row>
    <row r="37" spans="1:26" ht="14.25" customHeight="1" x14ac:dyDescent="0.35">
      <c r="B37" s="1" t="s">
        <v>56</v>
      </c>
      <c r="C37" s="1">
        <f t="shared" si="16"/>
        <v>127</v>
      </c>
      <c r="D37" s="1">
        <f t="shared" si="0"/>
        <v>219</v>
      </c>
      <c r="E37" s="1">
        <f t="shared" si="17"/>
        <v>31</v>
      </c>
      <c r="F37" s="1">
        <f t="shared" si="18"/>
        <v>63</v>
      </c>
      <c r="H37" s="1">
        <v>63</v>
      </c>
      <c r="I37" s="1">
        <v>31</v>
      </c>
      <c r="J37" s="1">
        <v>127</v>
      </c>
      <c r="K37" s="1">
        <v>381</v>
      </c>
      <c r="M37">
        <f t="shared" si="19"/>
        <v>70</v>
      </c>
      <c r="N37">
        <f t="shared" si="20"/>
        <v>104</v>
      </c>
    </row>
    <row r="38" spans="1:26" ht="14.25" customHeight="1" x14ac:dyDescent="0.35">
      <c r="B38" s="1" t="s">
        <v>57</v>
      </c>
      <c r="C38" s="1">
        <f t="shared" si="16"/>
        <v>127</v>
      </c>
      <c r="D38" s="1">
        <f t="shared" si="0"/>
        <v>195</v>
      </c>
      <c r="E38" s="1">
        <f t="shared" si="17"/>
        <v>31</v>
      </c>
      <c r="F38" s="1">
        <f t="shared" si="18"/>
        <v>63</v>
      </c>
      <c r="H38" s="1">
        <v>63</v>
      </c>
      <c r="I38" s="1">
        <v>31</v>
      </c>
      <c r="J38" s="1">
        <v>127</v>
      </c>
      <c r="K38" s="1">
        <v>405</v>
      </c>
      <c r="M38">
        <f t="shared" si="19"/>
        <v>70</v>
      </c>
      <c r="N38">
        <f t="shared" si="20"/>
        <v>80</v>
      </c>
    </row>
    <row r="39" spans="1:26" ht="14.25" customHeight="1" x14ac:dyDescent="0.35">
      <c r="B39" s="1" t="s">
        <v>58</v>
      </c>
      <c r="C39" s="1">
        <f t="shared" si="16"/>
        <v>113</v>
      </c>
      <c r="D39" s="1">
        <f t="shared" si="0"/>
        <v>157</v>
      </c>
      <c r="E39" s="1">
        <f t="shared" si="17"/>
        <v>45</v>
      </c>
      <c r="F39" s="1">
        <f t="shared" si="18"/>
        <v>75</v>
      </c>
      <c r="H39" s="1">
        <v>75</v>
      </c>
      <c r="I39" s="1">
        <v>45</v>
      </c>
      <c r="J39" s="1">
        <v>113</v>
      </c>
      <c r="K39" s="1">
        <v>443</v>
      </c>
      <c r="M39">
        <f t="shared" si="19"/>
        <v>56</v>
      </c>
      <c r="N39">
        <f t="shared" si="20"/>
        <v>42</v>
      </c>
    </row>
    <row r="40" spans="1:26" ht="14.25" customHeight="1" x14ac:dyDescent="0.35">
      <c r="A40" s="8"/>
      <c r="B40" s="8"/>
      <c r="C40" s="8"/>
      <c r="D40" s="1">
        <f t="shared" si="0"/>
        <v>600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.25" customHeight="1" x14ac:dyDescent="0.35">
      <c r="B41" s="1" t="s">
        <v>59</v>
      </c>
      <c r="C41" s="1">
        <f t="shared" ref="C41:C50" si="21">J41</f>
        <v>186</v>
      </c>
      <c r="D41" s="1">
        <f t="shared" si="0"/>
        <v>392</v>
      </c>
      <c r="E41" s="1">
        <f t="shared" ref="E41:E50" si="22">I41</f>
        <v>45</v>
      </c>
      <c r="F41" s="1">
        <f t="shared" ref="F41:F50" si="23">H41</f>
        <v>54</v>
      </c>
      <c r="H41" s="1">
        <v>54</v>
      </c>
      <c r="I41" s="1">
        <v>45</v>
      </c>
      <c r="J41" s="1">
        <v>186</v>
      </c>
      <c r="K41" s="1">
        <v>208</v>
      </c>
      <c r="M41">
        <f>C41-$C$85</f>
        <v>129</v>
      </c>
      <c r="N41">
        <f>D41-$D$85</f>
        <v>277</v>
      </c>
    </row>
    <row r="42" spans="1:26" ht="14.25" customHeight="1" x14ac:dyDescent="0.35">
      <c r="B42" s="1" t="s">
        <v>60</v>
      </c>
      <c r="C42" s="1">
        <f t="shared" si="21"/>
        <v>176</v>
      </c>
      <c r="D42" s="1">
        <f t="shared" si="0"/>
        <v>368</v>
      </c>
      <c r="E42" s="1">
        <f t="shared" si="22"/>
        <v>31</v>
      </c>
      <c r="F42" s="1">
        <f t="shared" si="23"/>
        <v>61</v>
      </c>
      <c r="H42" s="1">
        <v>61</v>
      </c>
      <c r="I42" s="1">
        <v>31</v>
      </c>
      <c r="J42" s="1">
        <v>176</v>
      </c>
      <c r="K42" s="1">
        <v>232</v>
      </c>
      <c r="M42">
        <f t="shared" ref="M42:M50" si="24">C42-$C$85</f>
        <v>119</v>
      </c>
      <c r="N42">
        <f t="shared" ref="N42:N50" si="25">D42-$D$85</f>
        <v>253</v>
      </c>
    </row>
    <row r="43" spans="1:26" ht="14.25" customHeight="1" x14ac:dyDescent="0.35">
      <c r="B43" s="1" t="s">
        <v>61</v>
      </c>
      <c r="C43" s="1">
        <f t="shared" si="21"/>
        <v>176</v>
      </c>
      <c r="D43" s="1">
        <f t="shared" si="0"/>
        <v>345</v>
      </c>
      <c r="E43" s="1">
        <f t="shared" si="22"/>
        <v>31</v>
      </c>
      <c r="F43" s="1">
        <f t="shared" si="23"/>
        <v>63</v>
      </c>
      <c r="H43" s="1">
        <v>63</v>
      </c>
      <c r="I43" s="1">
        <v>31</v>
      </c>
      <c r="J43" s="1">
        <v>176</v>
      </c>
      <c r="K43" s="1">
        <v>255</v>
      </c>
      <c r="M43">
        <f t="shared" si="24"/>
        <v>119</v>
      </c>
      <c r="N43">
        <f t="shared" si="25"/>
        <v>230</v>
      </c>
    </row>
    <row r="44" spans="1:26" ht="14.25" customHeight="1" x14ac:dyDescent="0.35">
      <c r="B44" s="1" t="s">
        <v>62</v>
      </c>
      <c r="C44" s="1">
        <f t="shared" si="21"/>
        <v>176</v>
      </c>
      <c r="D44" s="1">
        <f t="shared" si="0"/>
        <v>320</v>
      </c>
      <c r="E44" s="1">
        <f t="shared" si="22"/>
        <v>31</v>
      </c>
      <c r="F44" s="1">
        <f t="shared" si="23"/>
        <v>63</v>
      </c>
      <c r="H44" s="1">
        <v>63</v>
      </c>
      <c r="I44" s="1">
        <v>31</v>
      </c>
      <c r="J44" s="1">
        <v>176</v>
      </c>
      <c r="K44" s="1">
        <v>280</v>
      </c>
      <c r="M44">
        <f t="shared" si="24"/>
        <v>119</v>
      </c>
      <c r="N44">
        <f t="shared" si="25"/>
        <v>205</v>
      </c>
    </row>
    <row r="45" spans="1:26" ht="14.25" customHeight="1" x14ac:dyDescent="0.35">
      <c r="B45" s="1" t="s">
        <v>63</v>
      </c>
      <c r="C45" s="1">
        <f t="shared" si="21"/>
        <v>176</v>
      </c>
      <c r="D45" s="1">
        <f t="shared" si="0"/>
        <v>294</v>
      </c>
      <c r="E45" s="1">
        <f t="shared" si="22"/>
        <v>31</v>
      </c>
      <c r="F45" s="1">
        <f t="shared" si="23"/>
        <v>63</v>
      </c>
      <c r="H45" s="1">
        <v>63</v>
      </c>
      <c r="I45" s="1">
        <v>31</v>
      </c>
      <c r="J45" s="1">
        <v>176</v>
      </c>
      <c r="K45" s="1">
        <v>306</v>
      </c>
      <c r="M45">
        <f t="shared" si="24"/>
        <v>119</v>
      </c>
      <c r="N45">
        <f t="shared" si="25"/>
        <v>179</v>
      </c>
    </row>
    <row r="46" spans="1:26" ht="14.25" customHeight="1" x14ac:dyDescent="0.35">
      <c r="B46" s="1" t="s">
        <v>64</v>
      </c>
      <c r="C46" s="1">
        <f t="shared" si="21"/>
        <v>176</v>
      </c>
      <c r="D46" s="1">
        <f t="shared" si="0"/>
        <v>269</v>
      </c>
      <c r="E46" s="1">
        <f t="shared" si="22"/>
        <v>31</v>
      </c>
      <c r="F46" s="1">
        <f t="shared" si="23"/>
        <v>63</v>
      </c>
      <c r="H46" s="1">
        <v>63</v>
      </c>
      <c r="I46" s="1">
        <v>31</v>
      </c>
      <c r="J46" s="1">
        <v>176</v>
      </c>
      <c r="K46" s="1">
        <v>331</v>
      </c>
      <c r="M46">
        <f t="shared" si="24"/>
        <v>119</v>
      </c>
      <c r="N46">
        <f t="shared" si="25"/>
        <v>154</v>
      </c>
    </row>
    <row r="47" spans="1:26" ht="14.25" customHeight="1" x14ac:dyDescent="0.35">
      <c r="B47" s="1" t="s">
        <v>65</v>
      </c>
      <c r="C47" s="1">
        <f t="shared" si="21"/>
        <v>176</v>
      </c>
      <c r="D47" s="1">
        <f t="shared" si="0"/>
        <v>244</v>
      </c>
      <c r="E47" s="1">
        <f t="shared" si="22"/>
        <v>31</v>
      </c>
      <c r="F47" s="1">
        <f t="shared" si="23"/>
        <v>63</v>
      </c>
      <c r="H47" s="1">
        <v>63</v>
      </c>
      <c r="I47" s="1">
        <v>31</v>
      </c>
      <c r="J47" s="1">
        <v>176</v>
      </c>
      <c r="K47" s="1">
        <v>356</v>
      </c>
      <c r="M47">
        <f t="shared" si="24"/>
        <v>119</v>
      </c>
      <c r="N47">
        <f t="shared" si="25"/>
        <v>129</v>
      </c>
    </row>
    <row r="48" spans="1:26" ht="14.25" customHeight="1" x14ac:dyDescent="0.35">
      <c r="B48" s="1" t="s">
        <v>66</v>
      </c>
      <c r="C48" s="1">
        <f t="shared" si="21"/>
        <v>176</v>
      </c>
      <c r="D48" s="1">
        <f t="shared" si="0"/>
        <v>219</v>
      </c>
      <c r="E48" s="1">
        <f t="shared" si="22"/>
        <v>31</v>
      </c>
      <c r="F48" s="1">
        <f t="shared" si="23"/>
        <v>63</v>
      </c>
      <c r="H48" s="1">
        <v>63</v>
      </c>
      <c r="I48" s="1">
        <v>31</v>
      </c>
      <c r="J48" s="1">
        <v>176</v>
      </c>
      <c r="K48" s="1">
        <v>381</v>
      </c>
      <c r="M48">
        <f t="shared" si="24"/>
        <v>119</v>
      </c>
      <c r="N48">
        <f t="shared" si="25"/>
        <v>104</v>
      </c>
    </row>
    <row r="49" spans="1:26" ht="14.25" customHeight="1" x14ac:dyDescent="0.35">
      <c r="B49" s="1" t="s">
        <v>67</v>
      </c>
      <c r="C49" s="1">
        <f t="shared" si="21"/>
        <v>176</v>
      </c>
      <c r="D49" s="1">
        <f t="shared" si="0"/>
        <v>195</v>
      </c>
      <c r="E49" s="1">
        <f t="shared" si="22"/>
        <v>31</v>
      </c>
      <c r="F49" s="1">
        <f t="shared" si="23"/>
        <v>63</v>
      </c>
      <c r="H49" s="1">
        <v>63</v>
      </c>
      <c r="I49" s="1">
        <v>31</v>
      </c>
      <c r="J49" s="1">
        <v>176</v>
      </c>
      <c r="K49" s="1">
        <v>405</v>
      </c>
      <c r="M49">
        <f t="shared" si="24"/>
        <v>119</v>
      </c>
      <c r="N49">
        <f t="shared" si="25"/>
        <v>80</v>
      </c>
    </row>
    <row r="50" spans="1:26" ht="14.25" customHeight="1" x14ac:dyDescent="0.35">
      <c r="B50" s="1" t="s">
        <v>68</v>
      </c>
      <c r="C50" s="1">
        <f t="shared" si="21"/>
        <v>176</v>
      </c>
      <c r="D50" s="1">
        <f t="shared" si="0"/>
        <v>157</v>
      </c>
      <c r="E50" s="1">
        <f t="shared" si="22"/>
        <v>45</v>
      </c>
      <c r="F50" s="1">
        <f t="shared" si="23"/>
        <v>75</v>
      </c>
      <c r="H50" s="1">
        <v>75</v>
      </c>
      <c r="I50" s="1">
        <v>45</v>
      </c>
      <c r="J50" s="1">
        <v>176</v>
      </c>
      <c r="K50" s="1">
        <v>443</v>
      </c>
      <c r="M50">
        <f t="shared" si="24"/>
        <v>119</v>
      </c>
      <c r="N50">
        <f t="shared" si="25"/>
        <v>42</v>
      </c>
    </row>
    <row r="51" spans="1:26" ht="14.25" customHeight="1" x14ac:dyDescent="0.35">
      <c r="A51" s="8"/>
      <c r="B51" s="8"/>
      <c r="C51" s="8"/>
      <c r="D51" s="1">
        <f t="shared" si="0"/>
        <v>600</v>
      </c>
      <c r="E51" s="8"/>
      <c r="F51" s="8"/>
      <c r="G51" s="8"/>
      <c r="H51" s="8"/>
      <c r="I51" s="8"/>
      <c r="J51" s="8"/>
      <c r="K51" s="8"/>
      <c r="L51" s="8"/>
      <c r="M51" s="9" t="s">
        <v>1</v>
      </c>
      <c r="N51" s="9" t="s">
        <v>2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.25" customHeight="1" x14ac:dyDescent="0.35">
      <c r="B52" s="1" t="s">
        <v>69</v>
      </c>
      <c r="C52" s="1">
        <f t="shared" ref="C52:C61" si="26">J52</f>
        <v>337</v>
      </c>
      <c r="D52" s="1">
        <f t="shared" si="0"/>
        <v>392</v>
      </c>
      <c r="E52" s="1">
        <f t="shared" ref="E52:E61" si="27">I52</f>
        <v>128</v>
      </c>
      <c r="F52" s="1">
        <f t="shared" ref="F52:F61" si="28">H52</f>
        <v>30</v>
      </c>
      <c r="H52" s="1">
        <v>30</v>
      </c>
      <c r="I52" s="1">
        <v>128</v>
      </c>
      <c r="J52" s="1">
        <v>337</v>
      </c>
      <c r="K52" s="1">
        <v>208</v>
      </c>
      <c r="M52">
        <f>C52-$C$86</f>
        <v>47</v>
      </c>
      <c r="N52">
        <f>D52-$D$86</f>
        <v>277</v>
      </c>
    </row>
    <row r="53" spans="1:26" ht="14.25" customHeight="1" x14ac:dyDescent="0.35">
      <c r="B53" s="1" t="s">
        <v>70</v>
      </c>
      <c r="C53" s="1">
        <f t="shared" si="26"/>
        <v>361</v>
      </c>
      <c r="D53" s="1">
        <f t="shared" si="0"/>
        <v>368</v>
      </c>
      <c r="E53" s="1">
        <f t="shared" si="27"/>
        <v>80</v>
      </c>
      <c r="F53" s="1">
        <f t="shared" si="28"/>
        <v>54</v>
      </c>
      <c r="H53" s="1">
        <v>54</v>
      </c>
      <c r="I53" s="1">
        <v>80</v>
      </c>
      <c r="J53" s="1">
        <v>361</v>
      </c>
      <c r="K53" s="1">
        <v>232</v>
      </c>
      <c r="M53">
        <f t="shared" ref="M53:M61" si="29">C53-$C$86</f>
        <v>71</v>
      </c>
      <c r="N53">
        <f t="shared" ref="N53:N61" si="30">D53-$D$86</f>
        <v>253</v>
      </c>
    </row>
    <row r="54" spans="1:26" ht="14.25" customHeight="1" x14ac:dyDescent="0.35">
      <c r="B54" s="1" t="s">
        <v>71</v>
      </c>
      <c r="C54" s="1">
        <f t="shared" si="26"/>
        <v>361</v>
      </c>
      <c r="D54" s="1">
        <f t="shared" si="0"/>
        <v>345</v>
      </c>
      <c r="E54" s="1">
        <f t="shared" si="27"/>
        <v>80</v>
      </c>
      <c r="F54" s="1">
        <f t="shared" si="28"/>
        <v>61</v>
      </c>
      <c r="H54" s="1">
        <v>61</v>
      </c>
      <c r="I54" s="1">
        <v>80</v>
      </c>
      <c r="J54" s="1">
        <v>361</v>
      </c>
      <c r="K54" s="1">
        <v>255</v>
      </c>
      <c r="M54">
        <f t="shared" si="29"/>
        <v>71</v>
      </c>
      <c r="N54">
        <f t="shared" si="30"/>
        <v>230</v>
      </c>
    </row>
    <row r="55" spans="1:26" ht="14.25" customHeight="1" x14ac:dyDescent="0.35">
      <c r="B55" s="1" t="s">
        <v>72</v>
      </c>
      <c r="C55" s="1">
        <f t="shared" si="26"/>
        <v>361</v>
      </c>
      <c r="D55" s="1">
        <f t="shared" si="0"/>
        <v>320</v>
      </c>
      <c r="E55" s="1">
        <f t="shared" si="27"/>
        <v>80</v>
      </c>
      <c r="F55" s="1">
        <f t="shared" si="28"/>
        <v>63</v>
      </c>
      <c r="H55" s="1">
        <v>63</v>
      </c>
      <c r="I55" s="1">
        <v>80</v>
      </c>
      <c r="J55" s="1">
        <v>361</v>
      </c>
      <c r="K55" s="1">
        <v>280</v>
      </c>
      <c r="M55">
        <f t="shared" si="29"/>
        <v>71</v>
      </c>
      <c r="N55">
        <f t="shared" si="30"/>
        <v>205</v>
      </c>
    </row>
    <row r="56" spans="1:26" ht="14.25" customHeight="1" x14ac:dyDescent="0.35">
      <c r="B56" s="1" t="s">
        <v>73</v>
      </c>
      <c r="C56" s="1">
        <f t="shared" si="26"/>
        <v>361</v>
      </c>
      <c r="D56" s="1">
        <f t="shared" si="0"/>
        <v>294</v>
      </c>
      <c r="E56" s="1">
        <f t="shared" si="27"/>
        <v>80</v>
      </c>
      <c r="F56" s="1">
        <f t="shared" si="28"/>
        <v>63</v>
      </c>
      <c r="H56" s="1">
        <v>63</v>
      </c>
      <c r="I56" s="1">
        <v>80</v>
      </c>
      <c r="J56" s="1">
        <v>361</v>
      </c>
      <c r="K56" s="1">
        <v>306</v>
      </c>
      <c r="M56">
        <f t="shared" si="29"/>
        <v>71</v>
      </c>
      <c r="N56">
        <f t="shared" si="30"/>
        <v>179</v>
      </c>
    </row>
    <row r="57" spans="1:26" ht="14.25" customHeight="1" x14ac:dyDescent="0.35">
      <c r="B57" s="1" t="s">
        <v>74</v>
      </c>
      <c r="C57" s="1">
        <f t="shared" si="26"/>
        <v>361</v>
      </c>
      <c r="D57" s="1">
        <f t="shared" si="0"/>
        <v>269</v>
      </c>
      <c r="E57" s="1">
        <f t="shared" si="27"/>
        <v>80</v>
      </c>
      <c r="F57" s="1">
        <f t="shared" si="28"/>
        <v>63</v>
      </c>
      <c r="H57" s="1">
        <v>63</v>
      </c>
      <c r="I57" s="1">
        <v>80</v>
      </c>
      <c r="J57" s="1">
        <v>361</v>
      </c>
      <c r="K57" s="1">
        <v>331</v>
      </c>
      <c r="M57">
        <f t="shared" si="29"/>
        <v>71</v>
      </c>
      <c r="N57">
        <f t="shared" si="30"/>
        <v>154</v>
      </c>
    </row>
    <row r="58" spans="1:26" ht="14.25" customHeight="1" x14ac:dyDescent="0.35">
      <c r="B58" s="1" t="s">
        <v>75</v>
      </c>
      <c r="C58" s="1">
        <f t="shared" si="26"/>
        <v>361</v>
      </c>
      <c r="D58" s="1">
        <f t="shared" si="0"/>
        <v>244</v>
      </c>
      <c r="E58" s="1">
        <f t="shared" si="27"/>
        <v>80</v>
      </c>
      <c r="F58" s="1">
        <f t="shared" si="28"/>
        <v>63</v>
      </c>
      <c r="H58" s="1">
        <v>63</v>
      </c>
      <c r="I58" s="1">
        <v>80</v>
      </c>
      <c r="J58" s="1">
        <v>361</v>
      </c>
      <c r="K58" s="1">
        <v>356</v>
      </c>
      <c r="M58">
        <f t="shared" si="29"/>
        <v>71</v>
      </c>
      <c r="N58">
        <f t="shared" si="30"/>
        <v>129</v>
      </c>
    </row>
    <row r="59" spans="1:26" ht="14.25" customHeight="1" x14ac:dyDescent="0.35">
      <c r="B59" s="1" t="s">
        <v>76</v>
      </c>
      <c r="C59" s="1">
        <f t="shared" si="26"/>
        <v>361</v>
      </c>
      <c r="D59" s="1">
        <f t="shared" si="0"/>
        <v>219</v>
      </c>
      <c r="E59" s="1">
        <f t="shared" si="27"/>
        <v>80</v>
      </c>
      <c r="F59" s="1">
        <f t="shared" si="28"/>
        <v>63</v>
      </c>
      <c r="H59" s="1">
        <v>63</v>
      </c>
      <c r="I59" s="1">
        <v>80</v>
      </c>
      <c r="J59" s="1">
        <v>361</v>
      </c>
      <c r="K59" s="1">
        <v>381</v>
      </c>
      <c r="M59">
        <f t="shared" si="29"/>
        <v>71</v>
      </c>
      <c r="N59">
        <f t="shared" si="30"/>
        <v>104</v>
      </c>
    </row>
    <row r="60" spans="1:26" ht="14.25" customHeight="1" x14ac:dyDescent="0.35">
      <c r="B60" s="1" t="s">
        <v>77</v>
      </c>
      <c r="C60" s="1">
        <f t="shared" si="26"/>
        <v>361</v>
      </c>
      <c r="D60" s="1">
        <f t="shared" si="0"/>
        <v>195</v>
      </c>
      <c r="E60" s="1">
        <f t="shared" si="27"/>
        <v>80</v>
      </c>
      <c r="F60" s="1">
        <f t="shared" si="28"/>
        <v>63</v>
      </c>
      <c r="H60" s="1">
        <v>63</v>
      </c>
      <c r="I60" s="1">
        <v>80</v>
      </c>
      <c r="J60" s="1">
        <v>361</v>
      </c>
      <c r="K60" s="1">
        <v>405</v>
      </c>
      <c r="M60">
        <f t="shared" si="29"/>
        <v>71</v>
      </c>
      <c r="N60">
        <f t="shared" si="30"/>
        <v>80</v>
      </c>
    </row>
    <row r="61" spans="1:26" ht="14.25" customHeight="1" x14ac:dyDescent="0.35">
      <c r="B61" s="1" t="s">
        <v>78</v>
      </c>
      <c r="C61" s="1">
        <f t="shared" si="26"/>
        <v>347</v>
      </c>
      <c r="D61" s="1">
        <f t="shared" si="0"/>
        <v>157</v>
      </c>
      <c r="E61" s="1">
        <f t="shared" si="27"/>
        <v>108</v>
      </c>
      <c r="F61" s="1">
        <f t="shared" si="28"/>
        <v>75</v>
      </c>
      <c r="H61" s="1">
        <v>75</v>
      </c>
      <c r="I61" s="1">
        <v>108</v>
      </c>
      <c r="J61" s="1">
        <v>347</v>
      </c>
      <c r="K61" s="1">
        <v>443</v>
      </c>
      <c r="M61">
        <f t="shared" si="29"/>
        <v>57</v>
      </c>
      <c r="N61">
        <f t="shared" si="30"/>
        <v>42</v>
      </c>
    </row>
    <row r="62" spans="1:26" ht="14.25" customHeight="1" x14ac:dyDescent="0.35">
      <c r="A62" s="8"/>
      <c r="B62" s="8"/>
      <c r="C62" s="8"/>
      <c r="D62" s="1">
        <f t="shared" si="0"/>
        <v>600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25" customHeight="1" x14ac:dyDescent="0.35">
      <c r="B63" s="1" t="s">
        <v>79</v>
      </c>
      <c r="C63" s="1">
        <f t="shared" ref="C63:C72" si="31">J63</f>
        <v>570</v>
      </c>
      <c r="D63" s="1">
        <f t="shared" si="0"/>
        <v>392</v>
      </c>
      <c r="E63" s="1">
        <f t="shared" ref="E63:E72" si="32">I63</f>
        <v>45</v>
      </c>
      <c r="F63" s="1">
        <f t="shared" ref="F63:F72" si="33">H63</f>
        <v>30</v>
      </c>
      <c r="H63" s="1">
        <v>30</v>
      </c>
      <c r="I63" s="1">
        <v>45</v>
      </c>
      <c r="J63" s="1">
        <v>570</v>
      </c>
      <c r="K63" s="1">
        <v>208</v>
      </c>
    </row>
    <row r="64" spans="1:26" ht="14.25" customHeight="1" x14ac:dyDescent="0.35">
      <c r="B64" s="1" t="s">
        <v>80</v>
      </c>
      <c r="C64" s="1">
        <f t="shared" si="31"/>
        <v>594</v>
      </c>
      <c r="D64" s="1">
        <f t="shared" si="0"/>
        <v>368</v>
      </c>
      <c r="E64" s="1">
        <f t="shared" si="32"/>
        <v>40</v>
      </c>
      <c r="F64" s="1">
        <f t="shared" si="33"/>
        <v>54</v>
      </c>
      <c r="H64" s="1">
        <v>54</v>
      </c>
      <c r="I64" s="1">
        <v>40</v>
      </c>
      <c r="J64" s="1">
        <v>594</v>
      </c>
      <c r="K64" s="1">
        <v>232</v>
      </c>
    </row>
    <row r="65" spans="1:26" ht="14.25" customHeight="1" x14ac:dyDescent="0.35">
      <c r="B65" s="1" t="s">
        <v>81</v>
      </c>
      <c r="C65" s="1">
        <f t="shared" si="31"/>
        <v>594</v>
      </c>
      <c r="D65" s="1">
        <f t="shared" si="0"/>
        <v>345</v>
      </c>
      <c r="E65" s="1">
        <f t="shared" si="32"/>
        <v>31</v>
      </c>
      <c r="F65" s="1">
        <f t="shared" si="33"/>
        <v>61</v>
      </c>
      <c r="H65" s="1">
        <v>61</v>
      </c>
      <c r="I65" s="1">
        <v>31</v>
      </c>
      <c r="J65" s="1">
        <v>594</v>
      </c>
      <c r="K65" s="1">
        <v>255</v>
      </c>
    </row>
    <row r="66" spans="1:26" ht="14.25" customHeight="1" x14ac:dyDescent="0.35">
      <c r="B66" s="1" t="s">
        <v>82</v>
      </c>
      <c r="C66" s="1">
        <f t="shared" si="31"/>
        <v>594</v>
      </c>
      <c r="D66" s="1">
        <f t="shared" si="0"/>
        <v>320</v>
      </c>
      <c r="E66" s="1">
        <f t="shared" si="32"/>
        <v>31</v>
      </c>
      <c r="F66" s="1">
        <f t="shared" si="33"/>
        <v>61</v>
      </c>
      <c r="H66" s="1">
        <v>61</v>
      </c>
      <c r="I66" s="1">
        <v>31</v>
      </c>
      <c r="J66" s="1">
        <v>594</v>
      </c>
      <c r="K66" s="1">
        <v>280</v>
      </c>
    </row>
    <row r="67" spans="1:26" ht="14.25" customHeight="1" x14ac:dyDescent="0.35">
      <c r="B67" s="1" t="s">
        <v>83</v>
      </c>
      <c r="C67" s="1">
        <f t="shared" si="31"/>
        <v>594</v>
      </c>
      <c r="D67" s="1">
        <f t="shared" si="0"/>
        <v>294</v>
      </c>
      <c r="E67" s="1">
        <f t="shared" si="32"/>
        <v>31</v>
      </c>
      <c r="F67" s="1">
        <f t="shared" si="33"/>
        <v>61</v>
      </c>
      <c r="H67" s="1">
        <v>61</v>
      </c>
      <c r="I67" s="1">
        <v>31</v>
      </c>
      <c r="J67" s="1">
        <v>594</v>
      </c>
      <c r="K67" s="1">
        <v>306</v>
      </c>
    </row>
    <row r="68" spans="1:26" ht="14.25" customHeight="1" x14ac:dyDescent="0.35">
      <c r="B68" s="1" t="s">
        <v>84</v>
      </c>
      <c r="C68" s="1">
        <f t="shared" si="31"/>
        <v>594</v>
      </c>
      <c r="D68" s="1">
        <f t="shared" si="0"/>
        <v>269</v>
      </c>
      <c r="E68" s="1">
        <f t="shared" si="32"/>
        <v>31</v>
      </c>
      <c r="F68" s="1">
        <f t="shared" si="33"/>
        <v>61</v>
      </c>
      <c r="H68" s="1">
        <v>61</v>
      </c>
      <c r="I68" s="1">
        <v>31</v>
      </c>
      <c r="J68" s="1">
        <v>594</v>
      </c>
      <c r="K68" s="1">
        <v>331</v>
      </c>
    </row>
    <row r="69" spans="1:26" ht="14.25" customHeight="1" x14ac:dyDescent="0.35">
      <c r="B69" s="1" t="s">
        <v>85</v>
      </c>
      <c r="C69" s="1">
        <f t="shared" si="31"/>
        <v>594</v>
      </c>
      <c r="D69" s="1">
        <f t="shared" si="0"/>
        <v>244</v>
      </c>
      <c r="E69" s="1">
        <f t="shared" si="32"/>
        <v>31</v>
      </c>
      <c r="F69" s="1">
        <f t="shared" si="33"/>
        <v>61</v>
      </c>
      <c r="H69" s="1">
        <v>61</v>
      </c>
      <c r="I69" s="1">
        <v>31</v>
      </c>
      <c r="J69" s="1">
        <v>594</v>
      </c>
      <c r="K69" s="1">
        <v>356</v>
      </c>
    </row>
    <row r="70" spans="1:26" ht="14.25" customHeight="1" x14ac:dyDescent="0.35">
      <c r="B70" s="1" t="s">
        <v>86</v>
      </c>
      <c r="C70" s="1">
        <f t="shared" si="31"/>
        <v>594</v>
      </c>
      <c r="D70" s="1">
        <f t="shared" si="0"/>
        <v>219</v>
      </c>
      <c r="E70" s="1">
        <f t="shared" si="32"/>
        <v>31</v>
      </c>
      <c r="F70" s="1">
        <f t="shared" si="33"/>
        <v>61</v>
      </c>
      <c r="H70" s="1">
        <v>61</v>
      </c>
      <c r="I70" s="1">
        <v>31</v>
      </c>
      <c r="J70" s="1">
        <v>594</v>
      </c>
      <c r="K70" s="1">
        <v>381</v>
      </c>
    </row>
    <row r="71" spans="1:26" ht="14.25" customHeight="1" x14ac:dyDescent="0.35">
      <c r="B71" s="1" t="s">
        <v>87</v>
      </c>
      <c r="C71" s="1">
        <f t="shared" si="31"/>
        <v>594</v>
      </c>
      <c r="D71" s="1">
        <f t="shared" si="0"/>
        <v>195</v>
      </c>
      <c r="E71" s="1">
        <f t="shared" si="32"/>
        <v>31</v>
      </c>
      <c r="F71" s="1">
        <f t="shared" si="33"/>
        <v>61</v>
      </c>
      <c r="H71" s="1">
        <v>61</v>
      </c>
      <c r="I71" s="1">
        <v>31</v>
      </c>
      <c r="J71" s="1">
        <v>594</v>
      </c>
      <c r="K71" s="1">
        <v>405</v>
      </c>
    </row>
    <row r="72" spans="1:26" ht="14.25" customHeight="1" x14ac:dyDescent="0.35">
      <c r="B72" s="1" t="s">
        <v>88</v>
      </c>
      <c r="C72" s="1">
        <f t="shared" si="31"/>
        <v>580</v>
      </c>
      <c r="D72" s="1">
        <f t="shared" si="0"/>
        <v>157</v>
      </c>
      <c r="E72" s="1">
        <f t="shared" si="32"/>
        <v>45</v>
      </c>
      <c r="F72" s="1">
        <f t="shared" si="33"/>
        <v>75</v>
      </c>
      <c r="H72" s="1">
        <v>75</v>
      </c>
      <c r="I72" s="1">
        <v>45</v>
      </c>
      <c r="J72" s="1">
        <v>580</v>
      </c>
      <c r="K72" s="1">
        <v>443</v>
      </c>
    </row>
    <row r="73" spans="1:26" ht="14.25" customHeight="1" x14ac:dyDescent="0.35">
      <c r="A73" s="8"/>
      <c r="B73" s="8"/>
      <c r="C73" s="8"/>
      <c r="D73" s="1">
        <f t="shared" si="0"/>
        <v>600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25" customHeight="1" x14ac:dyDescent="0.35">
      <c r="B74" s="1" t="s">
        <v>89</v>
      </c>
      <c r="C74" s="1">
        <f t="shared" ref="C74:C83" si="34">J74</f>
        <v>652</v>
      </c>
      <c r="D74" s="1">
        <f t="shared" si="0"/>
        <v>392</v>
      </c>
      <c r="E74" s="1">
        <f t="shared" ref="E74:E83" si="35">I74</f>
        <v>45</v>
      </c>
      <c r="F74" s="1">
        <f t="shared" ref="F74:F83" si="36">H74</f>
        <v>30</v>
      </c>
      <c r="H74" s="1">
        <v>30</v>
      </c>
      <c r="I74" s="1">
        <v>45</v>
      </c>
      <c r="J74" s="1">
        <v>652</v>
      </c>
      <c r="K74" s="1">
        <v>208</v>
      </c>
    </row>
    <row r="75" spans="1:26" ht="14.25" customHeight="1" x14ac:dyDescent="0.35">
      <c r="B75" s="1" t="s">
        <v>90</v>
      </c>
      <c r="C75" s="1">
        <f t="shared" si="34"/>
        <v>634</v>
      </c>
      <c r="D75" s="1">
        <f t="shared" si="0"/>
        <v>368</v>
      </c>
      <c r="E75" s="1">
        <f t="shared" si="35"/>
        <v>40</v>
      </c>
      <c r="F75" s="1">
        <f t="shared" si="36"/>
        <v>54</v>
      </c>
      <c r="H75" s="1">
        <v>54</v>
      </c>
      <c r="I75" s="1">
        <v>40</v>
      </c>
      <c r="J75" s="1">
        <v>634</v>
      </c>
      <c r="K75" s="1">
        <v>232</v>
      </c>
    </row>
    <row r="76" spans="1:26" ht="14.25" customHeight="1" x14ac:dyDescent="0.35">
      <c r="B76" s="1" t="s">
        <v>91</v>
      </c>
      <c r="C76" s="1">
        <f t="shared" si="34"/>
        <v>643</v>
      </c>
      <c r="D76" s="1">
        <f t="shared" si="0"/>
        <v>345</v>
      </c>
      <c r="E76" s="1">
        <f t="shared" si="35"/>
        <v>31</v>
      </c>
      <c r="F76" s="1">
        <f t="shared" si="36"/>
        <v>63</v>
      </c>
      <c r="H76" s="1">
        <v>63</v>
      </c>
      <c r="I76" s="1">
        <v>31</v>
      </c>
      <c r="J76" s="1">
        <v>643</v>
      </c>
      <c r="K76" s="1">
        <v>255</v>
      </c>
    </row>
    <row r="77" spans="1:26" ht="14.25" customHeight="1" x14ac:dyDescent="0.35">
      <c r="B77" s="1" t="s">
        <v>92</v>
      </c>
      <c r="C77" s="1">
        <f t="shared" si="34"/>
        <v>643</v>
      </c>
      <c r="D77" s="1">
        <f t="shared" si="0"/>
        <v>320</v>
      </c>
      <c r="E77" s="1">
        <f t="shared" si="35"/>
        <v>31</v>
      </c>
      <c r="F77" s="1">
        <f t="shared" si="36"/>
        <v>63</v>
      </c>
      <c r="H77" s="1">
        <v>63</v>
      </c>
      <c r="I77" s="1">
        <v>31</v>
      </c>
      <c r="J77" s="1">
        <v>643</v>
      </c>
      <c r="K77" s="1">
        <v>280</v>
      </c>
    </row>
    <row r="78" spans="1:26" ht="14.25" customHeight="1" x14ac:dyDescent="0.35">
      <c r="B78" s="1" t="s">
        <v>93</v>
      </c>
      <c r="C78" s="1">
        <f t="shared" si="34"/>
        <v>643</v>
      </c>
      <c r="D78" s="1">
        <f t="shared" si="0"/>
        <v>294</v>
      </c>
      <c r="E78" s="1">
        <f t="shared" si="35"/>
        <v>31</v>
      </c>
      <c r="F78" s="1">
        <f t="shared" si="36"/>
        <v>63</v>
      </c>
      <c r="H78" s="1">
        <v>63</v>
      </c>
      <c r="I78" s="1">
        <v>31</v>
      </c>
      <c r="J78" s="1">
        <v>643</v>
      </c>
      <c r="K78" s="1">
        <v>306</v>
      </c>
    </row>
    <row r="79" spans="1:26" ht="14.25" customHeight="1" x14ac:dyDescent="0.35">
      <c r="B79" s="1" t="s">
        <v>94</v>
      </c>
      <c r="C79" s="1">
        <f t="shared" si="34"/>
        <v>643</v>
      </c>
      <c r="D79" s="1">
        <f t="shared" si="0"/>
        <v>269</v>
      </c>
      <c r="E79" s="1">
        <f t="shared" si="35"/>
        <v>31</v>
      </c>
      <c r="F79" s="1">
        <f t="shared" si="36"/>
        <v>63</v>
      </c>
      <c r="H79" s="1">
        <v>63</v>
      </c>
      <c r="I79" s="1">
        <v>31</v>
      </c>
      <c r="J79" s="1">
        <v>643</v>
      </c>
      <c r="K79" s="1">
        <v>331</v>
      </c>
    </row>
    <row r="80" spans="1:26" ht="14.25" customHeight="1" x14ac:dyDescent="0.35">
      <c r="B80" s="1" t="s">
        <v>95</v>
      </c>
      <c r="C80" s="1">
        <f t="shared" si="34"/>
        <v>643</v>
      </c>
      <c r="D80" s="1">
        <f t="shared" si="0"/>
        <v>244</v>
      </c>
      <c r="E80" s="1">
        <f t="shared" si="35"/>
        <v>31</v>
      </c>
      <c r="F80" s="1">
        <f t="shared" si="36"/>
        <v>63</v>
      </c>
      <c r="H80" s="1">
        <v>63</v>
      </c>
      <c r="I80" s="1">
        <v>31</v>
      </c>
      <c r="J80" s="1">
        <v>643</v>
      </c>
      <c r="K80" s="1">
        <v>356</v>
      </c>
    </row>
    <row r="81" spans="1:26" ht="14.25" customHeight="1" x14ac:dyDescent="0.35">
      <c r="B81" s="1" t="s">
        <v>96</v>
      </c>
      <c r="C81" s="1">
        <f t="shared" si="34"/>
        <v>643</v>
      </c>
      <c r="D81" s="1">
        <f t="shared" si="0"/>
        <v>219</v>
      </c>
      <c r="E81" s="1">
        <f t="shared" si="35"/>
        <v>31</v>
      </c>
      <c r="F81" s="1">
        <f t="shared" si="36"/>
        <v>63</v>
      </c>
      <c r="H81" s="1">
        <v>63</v>
      </c>
      <c r="I81" s="1">
        <v>31</v>
      </c>
      <c r="J81" s="1">
        <v>643</v>
      </c>
      <c r="K81" s="1">
        <v>381</v>
      </c>
    </row>
    <row r="82" spans="1:26" ht="14.25" customHeight="1" x14ac:dyDescent="0.35">
      <c r="B82" s="1" t="s">
        <v>97</v>
      </c>
      <c r="C82" s="1">
        <f t="shared" si="34"/>
        <v>643</v>
      </c>
      <c r="D82" s="1">
        <f t="shared" si="0"/>
        <v>195</v>
      </c>
      <c r="E82" s="1">
        <f t="shared" si="35"/>
        <v>31</v>
      </c>
      <c r="F82" s="1">
        <f t="shared" si="36"/>
        <v>63</v>
      </c>
      <c r="H82" s="1">
        <v>63</v>
      </c>
      <c r="I82" s="1">
        <v>31</v>
      </c>
      <c r="J82" s="1">
        <v>643</v>
      </c>
      <c r="K82" s="1">
        <v>405</v>
      </c>
    </row>
    <row r="83" spans="1:26" ht="14.25" customHeight="1" x14ac:dyDescent="0.35">
      <c r="B83" s="1" t="s">
        <v>98</v>
      </c>
      <c r="C83" s="1">
        <f t="shared" si="34"/>
        <v>643</v>
      </c>
      <c r="D83" s="1">
        <f t="shared" si="0"/>
        <v>157</v>
      </c>
      <c r="E83" s="1">
        <f t="shared" si="35"/>
        <v>31</v>
      </c>
      <c r="F83" s="1">
        <f t="shared" si="36"/>
        <v>63</v>
      </c>
      <c r="H83" s="1">
        <v>63</v>
      </c>
      <c r="I83" s="1">
        <v>31</v>
      </c>
      <c r="J83" s="1">
        <v>643</v>
      </c>
      <c r="K83" s="1">
        <v>443</v>
      </c>
    </row>
    <row r="84" spans="1:26" ht="14.25" customHeight="1" x14ac:dyDescent="0.35">
      <c r="A84" s="8"/>
      <c r="B84" s="8"/>
      <c r="C84" s="8"/>
      <c r="D84" s="1">
        <f t="shared" si="0"/>
        <v>600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25" customHeight="1" x14ac:dyDescent="0.35">
      <c r="A85" s="1" t="s">
        <v>99</v>
      </c>
      <c r="B85" s="10">
        <v>6</v>
      </c>
      <c r="C85" s="1">
        <f t="shared" ref="C85:C91" si="37">J85</f>
        <v>57</v>
      </c>
      <c r="D85" s="1">
        <f t="shared" si="0"/>
        <v>115</v>
      </c>
      <c r="E85" s="1">
        <f t="shared" ref="E85:E91" si="38">I85</f>
        <v>221</v>
      </c>
      <c r="F85" s="1">
        <f t="shared" ref="F85:F91" si="39">H85</f>
        <v>377</v>
      </c>
      <c r="H85" s="1">
        <v>377</v>
      </c>
      <c r="I85" s="1">
        <v>221</v>
      </c>
      <c r="J85" s="1">
        <v>57</v>
      </c>
      <c r="K85" s="1">
        <v>485</v>
      </c>
    </row>
    <row r="86" spans="1:26" ht="14.25" customHeight="1" x14ac:dyDescent="0.35">
      <c r="A86" s="1" t="s">
        <v>100</v>
      </c>
      <c r="B86" s="1">
        <v>7</v>
      </c>
      <c r="C86" s="1">
        <f t="shared" si="37"/>
        <v>290</v>
      </c>
      <c r="D86" s="1">
        <f t="shared" si="0"/>
        <v>115</v>
      </c>
      <c r="E86" s="1">
        <f t="shared" si="38"/>
        <v>221</v>
      </c>
      <c r="F86" s="1">
        <f t="shared" si="39"/>
        <v>377</v>
      </c>
      <c r="H86" s="1">
        <v>377</v>
      </c>
      <c r="I86" s="1">
        <v>221</v>
      </c>
      <c r="J86" s="1">
        <v>290</v>
      </c>
      <c r="K86" s="1">
        <v>485</v>
      </c>
    </row>
    <row r="87" spans="1:26" ht="14.25" customHeight="1" x14ac:dyDescent="0.35">
      <c r="A87" s="1" t="s">
        <v>105</v>
      </c>
      <c r="B87" s="1">
        <v>8</v>
      </c>
      <c r="C87" s="1">
        <f t="shared" si="37"/>
        <v>523</v>
      </c>
      <c r="D87" s="1">
        <f t="shared" si="0"/>
        <v>115</v>
      </c>
      <c r="E87" s="1">
        <f t="shared" si="38"/>
        <v>221</v>
      </c>
      <c r="F87" s="1">
        <f t="shared" si="39"/>
        <v>377</v>
      </c>
      <c r="H87" s="1">
        <v>377</v>
      </c>
      <c r="I87" s="1">
        <v>221</v>
      </c>
      <c r="J87" s="1">
        <v>523</v>
      </c>
      <c r="K87" s="1">
        <v>485</v>
      </c>
    </row>
    <row r="88" spans="1:26" ht="14.25" customHeight="1" x14ac:dyDescent="0.35">
      <c r="A88" s="1" t="s">
        <v>101</v>
      </c>
      <c r="B88" s="1">
        <v>9</v>
      </c>
      <c r="C88" s="1">
        <f t="shared" si="37"/>
        <v>345</v>
      </c>
      <c r="D88" s="1">
        <f t="shared" si="0"/>
        <v>35</v>
      </c>
      <c r="E88" s="1">
        <f t="shared" si="38"/>
        <v>112</v>
      </c>
      <c r="F88" s="1">
        <f t="shared" si="39"/>
        <v>39</v>
      </c>
      <c r="H88" s="1">
        <v>39</v>
      </c>
      <c r="I88" s="1">
        <v>112</v>
      </c>
      <c r="J88" s="1">
        <v>345</v>
      </c>
      <c r="K88" s="1">
        <v>565</v>
      </c>
    </row>
    <row r="89" spans="1:26" ht="14.25" customHeight="1" x14ac:dyDescent="0.35">
      <c r="A89" s="1" t="s">
        <v>102</v>
      </c>
      <c r="B89" s="1">
        <v>10</v>
      </c>
      <c r="C89" s="1">
        <f t="shared" si="37"/>
        <v>153</v>
      </c>
      <c r="D89" s="1">
        <f t="shared" si="0"/>
        <v>17</v>
      </c>
      <c r="E89" s="1">
        <f t="shared" si="38"/>
        <v>495</v>
      </c>
      <c r="F89" s="1">
        <f t="shared" si="39"/>
        <v>69</v>
      </c>
      <c r="H89" s="1">
        <v>69</v>
      </c>
      <c r="I89" s="1">
        <v>495</v>
      </c>
      <c r="J89" s="1">
        <v>153</v>
      </c>
      <c r="K89" s="1">
        <v>583</v>
      </c>
    </row>
    <row r="90" spans="1:26" ht="14.25" customHeight="1" x14ac:dyDescent="0.35">
      <c r="A90" s="1" t="s">
        <v>103</v>
      </c>
      <c r="B90" s="1">
        <v>11</v>
      </c>
      <c r="C90" s="4">
        <f t="shared" si="37"/>
        <v>47</v>
      </c>
      <c r="D90" s="4">
        <f t="shared" si="0"/>
        <v>515</v>
      </c>
      <c r="E90" s="4">
        <f t="shared" si="38"/>
        <v>64</v>
      </c>
      <c r="F90" s="4">
        <f t="shared" si="39"/>
        <v>50</v>
      </c>
      <c r="G90" s="4"/>
      <c r="H90" s="6">
        <v>50</v>
      </c>
      <c r="I90" s="5">
        <v>64</v>
      </c>
      <c r="J90" s="5">
        <v>47</v>
      </c>
      <c r="K90" s="5">
        <v>85</v>
      </c>
    </row>
    <row r="91" spans="1:26" ht="14.25" customHeight="1" x14ac:dyDescent="0.35">
      <c r="A91" s="1" t="s">
        <v>104</v>
      </c>
      <c r="B91" s="1">
        <v>12</v>
      </c>
      <c r="C91" s="4">
        <f t="shared" si="37"/>
        <v>704</v>
      </c>
      <c r="D91" s="4">
        <f t="shared" si="0"/>
        <v>515</v>
      </c>
      <c r="E91" s="4">
        <f t="shared" si="38"/>
        <v>64</v>
      </c>
      <c r="F91" s="4">
        <f t="shared" si="39"/>
        <v>50</v>
      </c>
      <c r="G91" s="4"/>
      <c r="H91" s="6">
        <v>50</v>
      </c>
      <c r="I91" s="5">
        <v>64</v>
      </c>
      <c r="J91" s="5">
        <v>704</v>
      </c>
      <c r="K91" s="5">
        <v>85</v>
      </c>
    </row>
    <row r="92" spans="1:26" ht="14.25" customHeight="1" x14ac:dyDescent="0.3"/>
    <row r="93" spans="1:26" ht="14.25" customHeight="1" x14ac:dyDescent="0.3"/>
    <row r="94" spans="1:26" ht="14.25" customHeight="1" x14ac:dyDescent="0.3"/>
    <row r="95" spans="1:26" ht="14.25" customHeight="1" x14ac:dyDescent="0.3"/>
    <row r="96" spans="1:2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M2:N2"/>
  </mergeCells>
  <pageMargins left="0.7" right="0.7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Arvid Randow</dc:creator>
  <cp:lastModifiedBy>Arvid Randow</cp:lastModifiedBy>
  <dcterms:created xsi:type="dcterms:W3CDTF">2021-05-07T06:24:35Z</dcterms:created>
  <dcterms:modified xsi:type="dcterms:W3CDTF">2021-05-08T15:29:56Z</dcterms:modified>
</cp:coreProperties>
</file>